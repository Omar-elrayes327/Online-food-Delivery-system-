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omarelrayes\Downloads\software project\software project\"/>
    </mc:Choice>
  </mc:AlternateContent>
  <xr:revisionPtr revIDLastSave="0" documentId="13_ncr:1_{B66942ED-46E9-4BA1-BAEB-A2AC45C4B8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 Gantt Chart " sheetId="4" r:id="rId1"/>
    <sheet name="pert chart" sheetId="7" r:id="rId2"/>
    <sheet name="Use case Diagram" sheetId="8" r:id="rId3"/>
    <sheet name="Context Diagram" sheetId="9" r:id="rId4"/>
    <sheet name="Activity Diagram " sheetId="10" r:id="rId5"/>
    <sheet name="State Machine Diagram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4" l="1"/>
  <c r="I16" i="4"/>
  <c r="F16" i="4"/>
  <c r="I4" i="4"/>
  <c r="E17" i="7"/>
  <c r="K17" i="7" s="1"/>
  <c r="L18" i="7" s="1"/>
  <c r="I17" i="7"/>
  <c r="M17" i="7" s="1"/>
  <c r="L23" i="7"/>
  <c r="I23" i="7" s="1"/>
  <c r="M23" i="7" s="1"/>
  <c r="E20" i="7"/>
  <c r="E21" i="7"/>
  <c r="E22" i="7"/>
  <c r="E23" i="7"/>
  <c r="E18" i="7"/>
  <c r="E19" i="7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J15" i="4"/>
  <c r="K15" i="4" s="1"/>
  <c r="I15" i="4" s="1"/>
  <c r="J14" i="4"/>
  <c r="K14" i="4" s="1"/>
  <c r="I14" i="4" s="1"/>
  <c r="J13" i="4"/>
  <c r="K13" i="4" s="1"/>
  <c r="I13" i="4" s="1"/>
  <c r="J12" i="4"/>
  <c r="K12" i="4" s="1"/>
  <c r="I12" i="4" s="1"/>
  <c r="J11" i="4"/>
  <c r="K11" i="4" s="1"/>
  <c r="I11" i="4" s="1"/>
  <c r="J10" i="4"/>
  <c r="K10" i="4" s="1"/>
  <c r="I10" i="4" s="1"/>
  <c r="J9" i="4"/>
  <c r="K9" i="4" s="1"/>
  <c r="I9" i="4" s="1"/>
  <c r="J16" i="4"/>
  <c r="K16" i="4" s="1"/>
  <c r="K23" i="7" l="1"/>
  <c r="F26" i="7" s="1"/>
  <c r="I18" i="7"/>
  <c r="M18" i="7" s="1"/>
  <c r="K18" i="7"/>
  <c r="J17" i="7"/>
  <c r="AQ11" i="4"/>
  <c r="Q10" i="4"/>
  <c r="J23" i="7" l="1"/>
  <c r="J18" i="7"/>
  <c r="L19" i="7"/>
  <c r="AE10" i="4"/>
  <c r="T10" i="4"/>
  <c r="AP11" i="4"/>
  <c r="P11" i="4"/>
  <c r="AQ10" i="4"/>
  <c r="AA10" i="4"/>
  <c r="P10" i="4"/>
  <c r="W10" i="4"/>
  <c r="AM10" i="4"/>
  <c r="AI10" i="4"/>
  <c r="AJ10" i="4"/>
  <c r="AK10" i="4"/>
  <c r="AO10" i="4"/>
  <c r="AB10" i="4"/>
  <c r="U10" i="4"/>
  <c r="O10" i="4"/>
  <c r="L10" i="4"/>
  <c r="S10" i="4"/>
  <c r="AR10" i="4"/>
  <c r="AF10" i="4"/>
  <c r="AJ9" i="4"/>
  <c r="AD11" i="4"/>
  <c r="X11" i="4"/>
  <c r="Q11" i="4"/>
  <c r="AO23" i="4"/>
  <c r="V11" i="4"/>
  <c r="AA11" i="4"/>
  <c r="AL11" i="4"/>
  <c r="AK11" i="4"/>
  <c r="M11" i="4"/>
  <c r="T11" i="4"/>
  <c r="AH11" i="4"/>
  <c r="N11" i="4"/>
  <c r="AG11" i="4"/>
  <c r="AR11" i="4"/>
  <c r="AE11" i="4"/>
  <c r="AD23" i="4"/>
  <c r="AG23" i="4"/>
  <c r="U23" i="4"/>
  <c r="AF11" i="4"/>
  <c r="AC11" i="4"/>
  <c r="AB11" i="4"/>
  <c r="W11" i="4"/>
  <c r="S9" i="4"/>
  <c r="AM13" i="4"/>
  <c r="AF13" i="4"/>
  <c r="AP13" i="4"/>
  <c r="AB13" i="4"/>
  <c r="AK13" i="4"/>
  <c r="AI13" i="4"/>
  <c r="AL13" i="4"/>
  <c r="AC13" i="4"/>
  <c r="AE13" i="4"/>
  <c r="O13" i="4"/>
  <c r="AH13" i="4"/>
  <c r="R13" i="4"/>
  <c r="AS13" i="4"/>
  <c r="Y13" i="4"/>
  <c r="W13" i="4"/>
  <c r="Z13" i="4"/>
  <c r="M13" i="4"/>
  <c r="S13" i="4"/>
  <c r="T13" i="4"/>
  <c r="V13" i="4"/>
  <c r="X13" i="4"/>
  <c r="AQ13" i="4"/>
  <c r="AA13" i="4"/>
  <c r="AT13" i="4"/>
  <c r="AD13" i="4"/>
  <c r="N13" i="4"/>
  <c r="AN13" i="4"/>
  <c r="AO13" i="4"/>
  <c r="U13" i="4"/>
  <c r="AS11" i="4"/>
  <c r="U11" i="4"/>
  <c r="AN11" i="4"/>
  <c r="AT14" i="4"/>
  <c r="R11" i="4"/>
  <c r="AJ11" i="4"/>
  <c r="Y11" i="4"/>
  <c r="AO11" i="4"/>
  <c r="P13" i="4"/>
  <c r="AG13" i="4"/>
  <c r="Q13" i="4"/>
  <c r="AR13" i="4"/>
  <c r="AK19" i="4"/>
  <c r="P19" i="4"/>
  <c r="AI19" i="4"/>
  <c r="AL19" i="4"/>
  <c r="T19" i="4"/>
  <c r="R19" i="4"/>
  <c r="U19" i="4"/>
  <c r="AR19" i="4"/>
  <c r="S19" i="4"/>
  <c r="N19" i="4"/>
  <c r="M19" i="4"/>
  <c r="AJ19" i="4"/>
  <c r="O19" i="4"/>
  <c r="AO19" i="4"/>
  <c r="AM19" i="4"/>
  <c r="Z10" i="4"/>
  <c r="AM11" i="4"/>
  <c r="S11" i="4"/>
  <c r="L11" i="4"/>
  <c r="Z19" i="4"/>
  <c r="AT19" i="4"/>
  <c r="W19" i="4"/>
  <c r="AB19" i="4"/>
  <c r="Y19" i="4"/>
  <c r="AS19" i="4"/>
  <c r="AT11" i="4"/>
  <c r="AI11" i="4"/>
  <c r="O11" i="4"/>
  <c r="AH19" i="4"/>
  <c r="V19" i="4"/>
  <c r="AP19" i="4"/>
  <c r="AE19" i="4"/>
  <c r="AF19" i="4"/>
  <c r="AC19" i="4"/>
  <c r="AC9" i="4"/>
  <c r="AS9" i="4"/>
  <c r="R9" i="4"/>
  <c r="AH9" i="4"/>
  <c r="O9" i="4"/>
  <c r="AE9" i="4"/>
  <c r="AF9" i="4"/>
  <c r="N9" i="4"/>
  <c r="AO9" i="4"/>
  <c r="Z9" i="4"/>
  <c r="V9" i="4"/>
  <c r="P9" i="4"/>
  <c r="AB9" i="4"/>
  <c r="AN9" i="4"/>
  <c r="AQ9" i="4"/>
  <c r="Y9" i="4"/>
  <c r="L9" i="4"/>
  <c r="AK9" i="4"/>
  <c r="AG9" i="4"/>
  <c r="M9" i="4"/>
  <c r="X9" i="4"/>
  <c r="AA9" i="4"/>
  <c r="AT9" i="4"/>
  <c r="AM9" i="4"/>
  <c r="U9" i="4"/>
  <c r="AI9" i="4"/>
  <c r="Q9" i="4"/>
  <c r="AP23" i="4"/>
  <c r="M23" i="4"/>
  <c r="T23" i="4"/>
  <c r="W9" i="4"/>
  <c r="S23" i="4"/>
  <c r="AR23" i="4"/>
  <c r="R23" i="4"/>
  <c r="AS23" i="4"/>
  <c r="O23" i="4"/>
  <c r="AL23" i="4"/>
  <c r="Q23" i="4"/>
  <c r="W23" i="4"/>
  <c r="AI23" i="4"/>
  <c r="AB23" i="4"/>
  <c r="P23" i="4"/>
  <c r="AN23" i="4"/>
  <c r="AF23" i="4"/>
  <c r="AJ23" i="4"/>
  <c r="AC23" i="4"/>
  <c r="AK23" i="4"/>
  <c r="AT23" i="4"/>
  <c r="L23" i="4"/>
  <c r="AM23" i="4"/>
  <c r="AE23" i="4"/>
  <c r="AH23" i="4"/>
  <c r="Z23" i="4"/>
  <c r="AL9" i="4"/>
  <c r="AD9" i="4"/>
  <c r="T9" i="4"/>
  <c r="Y23" i="4"/>
  <c r="N23" i="4"/>
  <c r="AA23" i="4"/>
  <c r="AQ23" i="4"/>
  <c r="V23" i="4"/>
  <c r="X23" i="4"/>
  <c r="AP9" i="4"/>
  <c r="AR9" i="4"/>
  <c r="X12" i="4"/>
  <c r="X10" i="4"/>
  <c r="AC10" i="4"/>
  <c r="N10" i="4"/>
  <c r="AD10" i="4"/>
  <c r="AT10" i="4"/>
  <c r="AN10" i="4"/>
  <c r="AG10" i="4"/>
  <c r="R10" i="4"/>
  <c r="AH10" i="4"/>
  <c r="M10" i="4"/>
  <c r="AS10" i="4"/>
  <c r="V10" i="4"/>
  <c r="AL10" i="4"/>
  <c r="Y10" i="4"/>
  <c r="AP10" i="4"/>
  <c r="Z11" i="4"/>
  <c r="L19" i="4"/>
  <c r="AG19" i="4"/>
  <c r="Q19" i="4"/>
  <c r="AN19" i="4"/>
  <c r="X19" i="4"/>
  <c r="AQ19" i="4"/>
  <c r="AA19" i="4"/>
  <c r="AD19" i="4"/>
  <c r="AJ13" i="4"/>
  <c r="L13" i="4"/>
  <c r="I19" i="7" l="1"/>
  <c r="M19" i="7" s="1"/>
  <c r="K19" i="7"/>
  <c r="AD14" i="4"/>
  <c r="L14" i="4"/>
  <c r="AO14" i="4"/>
  <c r="AS14" i="4"/>
  <c r="AF14" i="4"/>
  <c r="S14" i="4"/>
  <c r="W14" i="4"/>
  <c r="AI14" i="4"/>
  <c r="AJ15" i="4"/>
  <c r="AR14" i="4"/>
  <c r="AK14" i="4"/>
  <c r="U14" i="4"/>
  <c r="AA14" i="4"/>
  <c r="O14" i="4"/>
  <c r="AE14" i="4"/>
  <c r="Q14" i="4"/>
  <c r="N14" i="4"/>
  <c r="AP14" i="4"/>
  <c r="P14" i="4"/>
  <c r="AQ14" i="4"/>
  <c r="AJ14" i="4"/>
  <c r="T14" i="4"/>
  <c r="AC14" i="4"/>
  <c r="AG14" i="4"/>
  <c r="AL14" i="4"/>
  <c r="V14" i="4"/>
  <c r="Z14" i="4"/>
  <c r="AM14" i="4"/>
  <c r="AB14" i="4"/>
  <c r="AH14" i="4"/>
  <c r="Y14" i="4"/>
  <c r="X14" i="4"/>
  <c r="M14" i="4"/>
  <c r="AN14" i="4"/>
  <c r="R14" i="4"/>
  <c r="AR21" i="4"/>
  <c r="W21" i="4"/>
  <c r="L15" i="4"/>
  <c r="S15" i="4"/>
  <c r="AT15" i="4"/>
  <c r="X15" i="4"/>
  <c r="AQ15" i="4"/>
  <c r="AG15" i="4"/>
  <c r="AC15" i="4"/>
  <c r="W15" i="4"/>
  <c r="AB15" i="4"/>
  <c r="AM15" i="4"/>
  <c r="M15" i="4"/>
  <c r="AH15" i="4"/>
  <c r="AR15" i="4"/>
  <c r="R15" i="4"/>
  <c r="AE15" i="4"/>
  <c r="AF15" i="4"/>
  <c r="AI15" i="4"/>
  <c r="AS15" i="4"/>
  <c r="Q15" i="4"/>
  <c r="AP15" i="4"/>
  <c r="AK15" i="4"/>
  <c r="O15" i="4"/>
  <c r="P15" i="4"/>
  <c r="AL15" i="4"/>
  <c r="U15" i="4"/>
  <c r="N15" i="4"/>
  <c r="AQ20" i="4"/>
  <c r="V22" i="4"/>
  <c r="Y15" i="4"/>
  <c r="AN15" i="4"/>
  <c r="Z15" i="4"/>
  <c r="T22" i="4"/>
  <c r="AO15" i="4"/>
  <c r="T15" i="4"/>
  <c r="AA15" i="4"/>
  <c r="O20" i="4"/>
  <c r="AM20" i="4"/>
  <c r="AD15" i="4"/>
  <c r="V15" i="4"/>
  <c r="AM21" i="4"/>
  <c r="O22" i="4"/>
  <c r="AK22" i="4"/>
  <c r="AC22" i="4"/>
  <c r="Y22" i="4"/>
  <c r="AC20" i="4"/>
  <c r="Q20" i="4"/>
  <c r="T20" i="4"/>
  <c r="AS21" i="4"/>
  <c r="AT22" i="4"/>
  <c r="S22" i="4"/>
  <c r="L21" i="4"/>
  <c r="AH20" i="4"/>
  <c r="AB21" i="4"/>
  <c r="U21" i="4"/>
  <c r="T21" i="4"/>
  <c r="X22" i="4"/>
  <c r="AP22" i="4"/>
  <c r="N12" i="4"/>
  <c r="O12" i="4"/>
  <c r="AH12" i="4"/>
  <c r="AC17" i="4"/>
  <c r="AF17" i="4"/>
  <c r="W17" i="4"/>
  <c r="AL18" i="4"/>
  <c r="AH18" i="4"/>
  <c r="AI18" i="4"/>
  <c r="AJ18" i="4"/>
  <c r="AH21" i="4"/>
  <c r="AP21" i="4"/>
  <c r="AI21" i="4"/>
  <c r="P21" i="4"/>
  <c r="AS22" i="4"/>
  <c r="W22" i="4"/>
  <c r="AO22" i="4"/>
  <c r="AR22" i="4"/>
  <c r="AB22" i="4"/>
  <c r="AF21" i="4"/>
  <c r="AM22" i="4"/>
  <c r="AQ22" i="4"/>
  <c r="U22" i="4"/>
  <c r="AI22" i="4"/>
  <c r="AL22" i="4"/>
  <c r="O21" i="4"/>
  <c r="AK21" i="4"/>
  <c r="N21" i="4"/>
  <c r="Y21" i="4"/>
  <c r="AJ21" i="4"/>
  <c r="M21" i="4"/>
  <c r="T18" i="4"/>
  <c r="AB18" i="4"/>
  <c r="O18" i="4"/>
  <c r="X18" i="4"/>
  <c r="AC18" i="4"/>
  <c r="AA18" i="4"/>
  <c r="AG18" i="4"/>
  <c r="AT18" i="4"/>
  <c r="M18" i="4"/>
  <c r="AE18" i="4"/>
  <c r="AP18" i="4"/>
  <c r="Y18" i="4"/>
  <c r="N22" i="4"/>
  <c r="AN22" i="4"/>
  <c r="AH22" i="4"/>
  <c r="L22" i="4"/>
  <c r="AJ22" i="4"/>
  <c r="R22" i="4"/>
  <c r="M22" i="4"/>
  <c r="Z22" i="4"/>
  <c r="AD22" i="4"/>
  <c r="AG22" i="4"/>
  <c r="AA22" i="4"/>
  <c r="Q22" i="4"/>
  <c r="AF22" i="4"/>
  <c r="AE22" i="4"/>
  <c r="R18" i="4"/>
  <c r="AQ18" i="4"/>
  <c r="AR18" i="4"/>
  <c r="W18" i="4"/>
  <c r="Z21" i="4"/>
  <c r="AE21" i="4"/>
  <c r="V21" i="4"/>
  <c r="S21" i="4"/>
  <c r="AO21" i="4"/>
  <c r="AD21" i="4"/>
  <c r="AC21" i="4"/>
  <c r="AF18" i="4"/>
  <c r="AD18" i="4"/>
  <c r="AO18" i="4"/>
  <c r="S18" i="4"/>
  <c r="Z18" i="4"/>
  <c r="AK18" i="4"/>
  <c r="P22" i="4"/>
  <c r="AS18" i="4"/>
  <c r="AM18" i="4"/>
  <c r="L18" i="4"/>
  <c r="V18" i="4"/>
  <c r="P18" i="4"/>
  <c r="N18" i="4"/>
  <c r="AN18" i="4"/>
  <c r="U18" i="4"/>
  <c r="Q18" i="4"/>
  <c r="Y12" i="4"/>
  <c r="AQ12" i="4"/>
  <c r="AE12" i="4"/>
  <c r="V12" i="4"/>
  <c r="AR20" i="4"/>
  <c r="X20" i="4"/>
  <c r="Z20" i="4"/>
  <c r="N20" i="4"/>
  <c r="S20" i="4"/>
  <c r="AB20" i="4"/>
  <c r="U20" i="4"/>
  <c r="AO20" i="4"/>
  <c r="AT20" i="4"/>
  <c r="M20" i="4"/>
  <c r="V20" i="4"/>
  <c r="AA20" i="4"/>
  <c r="AJ20" i="4"/>
  <c r="AN17" i="4"/>
  <c r="Q17" i="4"/>
  <c r="AF12" i="4"/>
  <c r="AJ12" i="4"/>
  <c r="R12" i="4"/>
  <c r="AD12" i="4"/>
  <c r="AE20" i="4"/>
  <c r="AD20" i="4"/>
  <c r="AI20" i="4"/>
  <c r="Y20" i="4"/>
  <c r="P20" i="4"/>
  <c r="AG20" i="4"/>
  <c r="AL20" i="4"/>
  <c r="L20" i="4"/>
  <c r="AN20" i="4"/>
  <c r="AP20" i="4"/>
  <c r="R20" i="4"/>
  <c r="W20" i="4"/>
  <c r="AF20" i="4"/>
  <c r="AK20" i="4"/>
  <c r="AS20" i="4"/>
  <c r="AA21" i="4"/>
  <c r="AG21" i="4"/>
  <c r="AT21" i="4"/>
  <c r="X21" i="4"/>
  <c r="AQ21" i="4"/>
  <c r="Q21" i="4"/>
  <c r="AN21" i="4"/>
  <c r="AL21" i="4"/>
  <c r="R21" i="4"/>
  <c r="P17" i="4"/>
  <c r="AI17" i="4"/>
  <c r="V17" i="4"/>
  <c r="AG17" i="4"/>
  <c r="N17" i="4"/>
  <c r="AQ17" i="4"/>
  <c r="S17" i="4"/>
  <c r="AD17" i="4"/>
  <c r="AM17" i="4"/>
  <c r="R17" i="4"/>
  <c r="Z17" i="4"/>
  <c r="Y17" i="4"/>
  <c r="AH17" i="4"/>
  <c r="AA17" i="4"/>
  <c r="AP17" i="4"/>
  <c r="W12" i="4"/>
  <c r="T17" i="4"/>
  <c r="U17" i="4"/>
  <c r="AR17" i="4"/>
  <c r="AK17" i="4"/>
  <c r="AJ17" i="4"/>
  <c r="X17" i="4"/>
  <c r="AE17" i="4"/>
  <c r="M17" i="4"/>
  <c r="AB17" i="4"/>
  <c r="AS17" i="4"/>
  <c r="O17" i="4"/>
  <c r="AT17" i="4"/>
  <c r="AL17" i="4"/>
  <c r="AO17" i="4"/>
  <c r="L17" i="4"/>
  <c r="L12" i="4"/>
  <c r="M12" i="4"/>
  <c r="AT12" i="4"/>
  <c r="AB12" i="4"/>
  <c r="S12" i="4"/>
  <c r="Z12" i="4"/>
  <c r="Q12" i="4"/>
  <c r="AA12" i="4"/>
  <c r="AC12" i="4"/>
  <c r="T12" i="4"/>
  <c r="AG12" i="4"/>
  <c r="U12" i="4"/>
  <c r="P12" i="4"/>
  <c r="AM12" i="4"/>
  <c r="AN12" i="4"/>
  <c r="AR12" i="4"/>
  <c r="AK12" i="4"/>
  <c r="AI12" i="4"/>
  <c r="AP12" i="4"/>
  <c r="AS12" i="4"/>
  <c r="AL12" i="4"/>
  <c r="AO12" i="4"/>
  <c r="O16" i="4"/>
  <c r="L20" i="7" l="1"/>
  <c r="J19" i="7"/>
  <c r="AQ16" i="4"/>
  <c r="AP16" i="4"/>
  <c r="L16" i="4"/>
  <c r="AH16" i="4"/>
  <c r="AR16" i="4"/>
  <c r="S16" i="4"/>
  <c r="V16" i="4"/>
  <c r="W16" i="4"/>
  <c r="AK16" i="4"/>
  <c r="AJ16" i="4"/>
  <c r="AE16" i="4"/>
  <c r="T16" i="4"/>
  <c r="AM16" i="4"/>
  <c r="AI16" i="4"/>
  <c r="P16" i="4"/>
  <c r="AB16" i="4"/>
  <c r="N16" i="4"/>
  <c r="AS16" i="4"/>
  <c r="X16" i="4"/>
  <c r="R16" i="4"/>
  <c r="U16" i="4"/>
  <c r="Q16" i="4"/>
  <c r="AL16" i="4"/>
  <c r="AN16" i="4"/>
  <c r="Y16" i="4"/>
  <c r="AF16" i="4"/>
  <c r="AG16" i="4"/>
  <c r="Z16" i="4"/>
  <c r="AT16" i="4"/>
  <c r="AA16" i="4"/>
  <c r="M16" i="4"/>
  <c r="AC16" i="4"/>
  <c r="AD16" i="4"/>
  <c r="AO16" i="4"/>
  <c r="K20" i="7" l="1"/>
  <c r="I20" i="7"/>
  <c r="M20" i="7" s="1"/>
  <c r="L21" i="7" l="1"/>
  <c r="J20" i="7"/>
  <c r="K21" i="7" l="1"/>
  <c r="I21" i="7"/>
  <c r="M21" i="7" s="1"/>
  <c r="L22" i="7" l="1"/>
  <c r="J21" i="7"/>
  <c r="I22" i="7" l="1"/>
  <c r="M22" i="7" s="1"/>
  <c r="K22" i="7"/>
  <c r="J22" i="7" s="1"/>
</calcChain>
</file>

<file path=xl/sharedStrings.xml><?xml version="1.0" encoding="utf-8"?>
<sst xmlns="http://schemas.openxmlformats.org/spreadsheetml/2006/main" count="69" uniqueCount="54">
  <si>
    <t>Start</t>
  </si>
  <si>
    <t>End</t>
  </si>
  <si>
    <t xml:space="preserve">ACTIVITY PLAN </t>
  </si>
  <si>
    <t>Activity</t>
  </si>
  <si>
    <t>WEEK &gt;</t>
  </si>
  <si>
    <t xml:space="preserve">Person name </t>
  </si>
  <si>
    <t>ID</t>
  </si>
  <si>
    <t>C</t>
  </si>
  <si>
    <t>A</t>
  </si>
  <si>
    <t>D</t>
  </si>
  <si>
    <t>END date</t>
  </si>
  <si>
    <t xml:space="preserve">START date </t>
  </si>
  <si>
    <t>TE=(O+4M+P)/6</t>
  </si>
  <si>
    <t>B</t>
  </si>
  <si>
    <t>E</t>
  </si>
  <si>
    <t>F</t>
  </si>
  <si>
    <t>G</t>
  </si>
  <si>
    <t>TE</t>
  </si>
  <si>
    <t>O</t>
  </si>
  <si>
    <t>M</t>
  </si>
  <si>
    <t>P</t>
  </si>
  <si>
    <t>ES</t>
  </si>
  <si>
    <t>EF</t>
  </si>
  <si>
    <t>LF</t>
  </si>
  <si>
    <t>LS</t>
  </si>
  <si>
    <t>slack</t>
  </si>
  <si>
    <t xml:space="preserve">Expected Time rule </t>
  </si>
  <si>
    <t xml:space="preserve">previous activity </t>
  </si>
  <si>
    <t>Total duration</t>
  </si>
  <si>
    <t>conclusion</t>
  </si>
  <si>
    <t>all activity is in critical path (this makes sense )</t>
  </si>
  <si>
    <t>Activity ID</t>
  </si>
  <si>
    <t>Null</t>
  </si>
  <si>
    <t>Days</t>
  </si>
  <si>
    <t>PROJECT:Online food delivery system</t>
  </si>
  <si>
    <t xml:space="preserve">Project Title: BiteFlow </t>
  </si>
  <si>
    <t>Project Manager: Omar Ahmed Soliman Soliman</t>
  </si>
  <si>
    <t>Project Infos+Problem Description</t>
  </si>
  <si>
    <t>System Objectives+Stakeholders</t>
  </si>
  <si>
    <t>Functional Requirements+ Non-Functional gathering</t>
  </si>
  <si>
    <t>Requirements Analysis</t>
  </si>
  <si>
    <t>Activity Diagram + State Machine Diagram</t>
  </si>
  <si>
    <t>Use Case Diagram + Context Diagram</t>
  </si>
  <si>
    <t>Project selection and agreement on tasks</t>
  </si>
  <si>
    <t>All team members</t>
  </si>
  <si>
    <t>Omar Mostafa Ali</t>
  </si>
  <si>
    <t>Abdalla Mahmoud Saber Elsayed</t>
  </si>
  <si>
    <t>Aser Youssef Mohamed Elbadawy</t>
  </si>
  <si>
    <t>Ibrahim Ali Khaled Ibrahim Ibrahim Elwakeel</t>
  </si>
  <si>
    <t>Abdulrahman Hamada Khairi</t>
  </si>
  <si>
    <t xml:space="preserve">Abdulrahman Mustafa Saeed Mohammed </t>
  </si>
  <si>
    <t>Omar Ahmed Soliman Soliman</t>
  </si>
  <si>
    <t>Actual Total activity time (without gathering documents(last Activity))</t>
  </si>
  <si>
    <t xml:space="preserve">Collecting and verifying documents for project management and creating Gantt charts and PERT charts.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</si>
</sst>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_);\(0\)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</font>
    <font>
      <u/>
      <sz val="10"/>
      <color indexed="12"/>
      <name val="Arial"/>
    </font>
    <font>
      <sz val="10"/>
      <name val="Segoe UI"/>
      <family val="2"/>
    </font>
    <font>
      <i/>
      <sz val="10"/>
      <color indexed="23"/>
      <name val="Segoe UI"/>
      <family val="2"/>
    </font>
    <font>
      <sz val="10"/>
      <name val="Arial"/>
      <family val="2"/>
      <charset val="1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8"/>
      <name val="Arial"/>
      <family val="2"/>
    </font>
    <font>
      <b/>
      <sz val="8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i/>
      <sz val="10"/>
      <color rgb="FF7030A0"/>
      <name val="Segoe U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i/>
      <sz val="10"/>
      <color theme="1"/>
      <name val="Segoe UI"/>
      <family val="2"/>
    </font>
    <font>
      <b/>
      <sz val="11"/>
      <color theme="1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22"/>
      </right>
      <top/>
      <bottom style="hair">
        <color indexed="22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 applyBorder="0" applyAlignment="0">
      <alignment vertical="top" wrapText="1"/>
      <protection locked="0"/>
    </xf>
    <xf numFmtId="0" fontId="1" fillId="0" borderId="0"/>
    <xf numFmtId="0" fontId="18" fillId="0" borderId="0" applyNumberFormat="0" applyFill="0" applyBorder="0" applyAlignment="0" applyProtection="0"/>
  </cellStyleXfs>
  <cellXfs count="62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2" borderId="7" xfId="0" applyFont="1" applyFill="1" applyBorder="1"/>
    <xf numFmtId="0" fontId="7" fillId="2" borderId="8" xfId="0" applyFont="1" applyFill="1" applyBorder="1" applyAlignment="1">
      <alignment horizontal="center"/>
    </xf>
    <xf numFmtId="0" fontId="9" fillId="2" borderId="0" xfId="1" applyFont="1" applyFill="1" applyAlignment="1" applyProtection="1">
      <alignment horizontal="center" vertical="center"/>
    </xf>
    <xf numFmtId="0" fontId="4" fillId="2" borderId="12" xfId="0" applyFont="1" applyFill="1" applyBorder="1"/>
    <xf numFmtId="0" fontId="4" fillId="2" borderId="11" xfId="0" applyFont="1" applyFill="1" applyBorder="1"/>
    <xf numFmtId="0" fontId="4" fillId="2" borderId="13" xfId="0" applyFont="1" applyFill="1" applyBorder="1"/>
    <xf numFmtId="0" fontId="10" fillId="2" borderId="1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1" fontId="13" fillId="4" borderId="16" xfId="0" applyNumberFormat="1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11" fillId="0" borderId="15" xfId="2" applyFont="1" applyBorder="1" applyAlignment="1">
      <alignment horizontal="left" vertical="center" wrapText="1"/>
      <protection locked="0"/>
    </xf>
    <xf numFmtId="0" fontId="8" fillId="0" borderId="15" xfId="2" applyFont="1" applyBorder="1" applyAlignment="1">
      <alignment horizontal="left" vertical="center" wrapText="1" indent="1"/>
      <protection locked="0"/>
    </xf>
    <xf numFmtId="0" fontId="14" fillId="2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6" fillId="2" borderId="0" xfId="0" applyFont="1" applyFill="1"/>
    <xf numFmtId="0" fontId="16" fillId="2" borderId="2" xfId="0" applyFont="1" applyFill="1" applyBorder="1"/>
    <xf numFmtId="0" fontId="16" fillId="2" borderId="9" xfId="0" applyFont="1" applyFill="1" applyBorder="1"/>
    <xf numFmtId="0" fontId="1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164" fontId="12" fillId="0" borderId="15" xfId="0" applyNumberFormat="1" applyFont="1" applyBorder="1" applyAlignment="1" applyProtection="1">
      <alignment horizontal="center" vertical="center" wrapText="1"/>
      <protection locked="0"/>
    </xf>
    <xf numFmtId="164" fontId="12" fillId="0" borderId="0" xfId="0" applyNumberFormat="1" applyFont="1" applyAlignment="1" applyProtection="1">
      <alignment horizontal="center" vertical="center" wrapText="1"/>
      <protection locked="0"/>
    </xf>
    <xf numFmtId="1" fontId="0" fillId="0" borderId="0" xfId="0" applyNumberFormat="1"/>
    <xf numFmtId="0" fontId="20" fillId="0" borderId="0" xfId="0" applyFont="1"/>
    <xf numFmtId="0" fontId="21" fillId="0" borderId="0" xfId="0" applyFont="1"/>
    <xf numFmtId="0" fontId="19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165" fontId="22" fillId="2" borderId="0" xfId="0" applyNumberFormat="1" applyFont="1" applyFill="1" applyAlignment="1">
      <alignment horizontal="left" vertical="center"/>
    </xf>
    <xf numFmtId="1" fontId="12" fillId="0" borderId="0" xfId="0" applyNumberFormat="1" applyFont="1" applyAlignment="1" applyProtection="1">
      <alignment horizontal="center" vertical="center" wrapText="1"/>
      <protection locked="0"/>
    </xf>
    <xf numFmtId="0" fontId="19" fillId="0" borderId="15" xfId="2" applyFont="1" applyBorder="1" applyAlignment="1">
      <alignment horizontal="left" vertical="center" wrapText="1"/>
      <protection locked="0"/>
    </xf>
    <xf numFmtId="0" fontId="23" fillId="2" borderId="0" xfId="0" applyFont="1" applyFill="1"/>
    <xf numFmtId="0" fontId="24" fillId="2" borderId="0" xfId="0" applyFont="1" applyFill="1"/>
    <xf numFmtId="0" fontId="7" fillId="0" borderId="15" xfId="2" applyFont="1" applyBorder="1" applyAlignment="1">
      <alignment horizontal="left" vertical="center" wrapText="1"/>
      <protection locked="0"/>
    </xf>
    <xf numFmtId="0" fontId="19" fillId="0" borderId="15" xfId="2" applyFont="1" applyBorder="1" applyAlignment="1">
      <alignment vertical="top" wrapText="1"/>
      <protection locked="0"/>
    </xf>
    <xf numFmtId="0" fontId="19" fillId="0" borderId="15" xfId="2" applyFont="1" applyBorder="1" applyAlignment="1">
      <alignment vertical="center" wrapText="1"/>
      <protection locked="0"/>
    </xf>
    <xf numFmtId="165" fontId="25" fillId="2" borderId="0" xfId="0" applyNumberFormat="1" applyFont="1" applyFill="1" applyAlignment="1">
      <alignment horizontal="left" vertical="center"/>
    </xf>
    <xf numFmtId="0" fontId="24" fillId="2" borderId="0" xfId="0" applyFont="1" applyFill="1" applyAlignment="1">
      <alignment horizontal="left"/>
    </xf>
    <xf numFmtId="0" fontId="24" fillId="2" borderId="12" xfId="0" applyFont="1" applyFill="1" applyBorder="1"/>
    <xf numFmtId="0" fontId="7" fillId="2" borderId="0" xfId="0" applyFont="1" applyFill="1" applyAlignment="1">
      <alignment horizontal="right"/>
    </xf>
    <xf numFmtId="0" fontId="15" fillId="4" borderId="11" xfId="0" applyFont="1" applyFill="1" applyBorder="1" applyAlignment="1">
      <alignment horizontal="left" vertical="center"/>
    </xf>
    <xf numFmtId="0" fontId="15" fillId="4" borderId="12" xfId="0" applyFont="1" applyFill="1" applyBorder="1" applyAlignment="1">
      <alignment horizontal="left" vertical="center"/>
    </xf>
    <xf numFmtId="0" fontId="15" fillId="4" borderId="13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7" fillId="0" borderId="15" xfId="2" applyFont="1" applyBorder="1" applyAlignment="1">
      <alignment vertical="center" wrapText="1"/>
      <protection locked="0"/>
    </xf>
  </cellXfs>
  <cellStyles count="5">
    <cellStyle name="Hyperlink" xfId="1" builtinId="8"/>
    <cellStyle name="Hyperlink 2" xfId="4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</cellStyles>
  <dxfs count="3">
    <dxf>
      <font>
        <color rgb="FF8CC63F"/>
      </font>
      <fill>
        <patternFill>
          <bgColor rgb="FF93C63F"/>
        </patternFill>
      </fill>
      <border>
        <left/>
        <right/>
        <top style="thin">
          <color theme="0"/>
        </top>
        <bottom style="thin">
          <color theme="0"/>
        </bottom>
      </border>
    </dxf>
    <dxf>
      <font>
        <color rgb="FF8CC63F"/>
        <name val="Calibri Light"/>
        <scheme val="none"/>
      </font>
      <fill>
        <patternFill>
          <bgColor rgb="FF93C63F"/>
        </patternFill>
      </fill>
      <border>
        <left/>
        <right/>
        <top style="thin">
          <color indexed="64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mruColors>
      <color rgb="FF8DC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46</xdr:col>
      <xdr:colOff>0</xdr:colOff>
      <xdr:row>0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6040100" y="2628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525778</xdr:colOff>
      <xdr:row>3</xdr:row>
      <xdr:rowOff>30480</xdr:rowOff>
    </xdr:from>
    <xdr:to>
      <xdr:col>10</xdr:col>
      <xdr:colOff>304799</xdr:colOff>
      <xdr:row>13</xdr:row>
      <xdr:rowOff>35560</xdr:rowOff>
    </xdr:to>
    <xdr:grpSp>
      <xdr:nvGrpSpPr>
        <xdr:cNvPr id="200" name="Group 199">
          <a:extLst>
            <a:ext uri="{FF2B5EF4-FFF2-40B4-BE49-F238E27FC236}">
              <a16:creationId xmlns:a16="http://schemas.microsoft.com/office/drawing/2014/main" id="{797FA4C4-CBDB-4D10-B01A-5D12F20ED395}"/>
            </a:ext>
          </a:extLst>
        </xdr:cNvPr>
        <xdr:cNvGrpSpPr/>
      </xdr:nvGrpSpPr>
      <xdr:grpSpPr>
        <a:xfrm>
          <a:off x="12184378" y="533400"/>
          <a:ext cx="1798321" cy="1681480"/>
          <a:chOff x="4305299" y="3111500"/>
          <a:chExt cx="1384301" cy="1130300"/>
        </a:xfrm>
      </xdr:grpSpPr>
      <xdr:sp macro="" textlink="">
        <xdr:nvSpPr>
          <xdr:cNvPr id="201" name="Rectangle 200">
            <a:extLst>
              <a:ext uri="{FF2B5EF4-FFF2-40B4-BE49-F238E27FC236}">
                <a16:creationId xmlns:a16="http://schemas.microsoft.com/office/drawing/2014/main" id="{A6332EF3-FB66-0D62-D6B8-1932F56FB38D}"/>
              </a:ext>
            </a:extLst>
          </xdr:cNvPr>
          <xdr:cNvSpPr/>
        </xdr:nvSpPr>
        <xdr:spPr>
          <a:xfrm>
            <a:off x="4305300" y="3111500"/>
            <a:ext cx="68253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ES=4</a:t>
            </a:r>
          </a:p>
        </xdr:txBody>
      </xdr:sp>
      <xdr:sp macro="" textlink="">
        <xdr:nvSpPr>
          <xdr:cNvPr id="203" name="Rectangle 202">
            <a:extLst>
              <a:ext uri="{FF2B5EF4-FFF2-40B4-BE49-F238E27FC236}">
                <a16:creationId xmlns:a16="http://schemas.microsoft.com/office/drawing/2014/main" id="{59B6B25E-52ED-7734-0E8A-894845BD5114}"/>
              </a:ext>
            </a:extLst>
          </xdr:cNvPr>
          <xdr:cNvSpPr/>
        </xdr:nvSpPr>
        <xdr:spPr>
          <a:xfrm>
            <a:off x="4992643" y="3111500"/>
            <a:ext cx="69695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EF=6</a:t>
            </a:r>
          </a:p>
        </xdr:txBody>
      </xdr:sp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82CEC960-9FA5-8073-D4A9-45B8E5B31F9C}"/>
              </a:ext>
            </a:extLst>
          </xdr:cNvPr>
          <xdr:cNvSpPr/>
        </xdr:nvSpPr>
        <xdr:spPr>
          <a:xfrm>
            <a:off x="4305299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C</a:t>
            </a:r>
          </a:p>
        </xdr:txBody>
      </xdr:sp>
      <xdr:sp macro="" textlink="">
        <xdr:nvSpPr>
          <xdr:cNvPr id="205" name="Rectangle 204">
            <a:extLst>
              <a:ext uri="{FF2B5EF4-FFF2-40B4-BE49-F238E27FC236}">
                <a16:creationId xmlns:a16="http://schemas.microsoft.com/office/drawing/2014/main" id="{5B6E3CD0-E9C4-AD14-E3E4-BF3E691BABD7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LS=4</a:t>
            </a:r>
          </a:p>
        </xdr:txBody>
      </xdr:sp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8EAD3EC8-2695-4015-2797-A4EF539E57F1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B56ED49E-ECEF-17B5-4D99-E0815F51CF4F}"/>
              </a:ext>
            </a:extLst>
          </xdr:cNvPr>
          <xdr:cNvSpPr/>
        </xdr:nvSpPr>
        <xdr:spPr>
          <a:xfrm>
            <a:off x="5232399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LF=6</a:t>
            </a:r>
          </a:p>
        </xdr:txBody>
      </xdr:sp>
    </xdr:grpSp>
    <xdr:clientData/>
  </xdr:twoCellAnchor>
  <xdr:twoCellAnchor>
    <xdr:from>
      <xdr:col>12</xdr:col>
      <xdr:colOff>243840</xdr:colOff>
      <xdr:row>3</xdr:row>
      <xdr:rowOff>106680</xdr:rowOff>
    </xdr:from>
    <xdr:to>
      <xdr:col>15</xdr:col>
      <xdr:colOff>60960</xdr:colOff>
      <xdr:row>13</xdr:row>
      <xdr:rowOff>76200</xdr:rowOff>
    </xdr:to>
    <xdr:grpSp>
      <xdr:nvGrpSpPr>
        <xdr:cNvPr id="256" name="Group 255">
          <a:extLst>
            <a:ext uri="{FF2B5EF4-FFF2-40B4-BE49-F238E27FC236}">
              <a16:creationId xmlns:a16="http://schemas.microsoft.com/office/drawing/2014/main" id="{70660470-45A7-449D-989F-8033A34B66A1}"/>
            </a:ext>
          </a:extLst>
        </xdr:cNvPr>
        <xdr:cNvGrpSpPr/>
      </xdr:nvGrpSpPr>
      <xdr:grpSpPr>
        <a:xfrm>
          <a:off x="15293340" y="609600"/>
          <a:ext cx="1798320" cy="1645920"/>
          <a:chOff x="4305300" y="3111500"/>
          <a:chExt cx="1384300" cy="1130300"/>
        </a:xfrm>
      </xdr:grpSpPr>
      <xdr:sp macro="" textlink="">
        <xdr:nvSpPr>
          <xdr:cNvPr id="257" name="Rectangle 256">
            <a:extLst>
              <a:ext uri="{FF2B5EF4-FFF2-40B4-BE49-F238E27FC236}">
                <a16:creationId xmlns:a16="http://schemas.microsoft.com/office/drawing/2014/main" id="{647D3911-230F-7149-A471-3A3EA2BF7D88}"/>
              </a:ext>
            </a:extLst>
          </xdr:cNvPr>
          <xdr:cNvSpPr/>
        </xdr:nvSpPr>
        <xdr:spPr>
          <a:xfrm>
            <a:off x="4305300" y="3111500"/>
            <a:ext cx="68253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ES=6</a:t>
            </a:r>
          </a:p>
        </xdr:txBody>
      </xdr:sp>
      <xdr:sp macro="" textlink="">
        <xdr:nvSpPr>
          <xdr:cNvPr id="258" name="Rectangle 257">
            <a:extLst>
              <a:ext uri="{FF2B5EF4-FFF2-40B4-BE49-F238E27FC236}">
                <a16:creationId xmlns:a16="http://schemas.microsoft.com/office/drawing/2014/main" id="{EA5ED8AE-0D96-6EAF-3185-AFFEAB341D11}"/>
              </a:ext>
            </a:extLst>
          </xdr:cNvPr>
          <xdr:cNvSpPr/>
        </xdr:nvSpPr>
        <xdr:spPr>
          <a:xfrm>
            <a:off x="4992643" y="3111500"/>
            <a:ext cx="69695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EF=9</a:t>
            </a:r>
          </a:p>
        </xdr:txBody>
      </xdr:sp>
      <xdr:sp macro="" textlink="">
        <xdr:nvSpPr>
          <xdr:cNvPr id="259" name="Rectangle 258">
            <a:extLst>
              <a:ext uri="{FF2B5EF4-FFF2-40B4-BE49-F238E27FC236}">
                <a16:creationId xmlns:a16="http://schemas.microsoft.com/office/drawing/2014/main" id="{7259890F-528F-4ED0-A10A-E43C73AF5267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D</a:t>
            </a:r>
          </a:p>
        </xdr:txBody>
      </xdr:sp>
      <xdr:sp macro="" textlink="">
        <xdr:nvSpPr>
          <xdr:cNvPr id="260" name="Rectangle 259">
            <a:extLst>
              <a:ext uri="{FF2B5EF4-FFF2-40B4-BE49-F238E27FC236}">
                <a16:creationId xmlns:a16="http://schemas.microsoft.com/office/drawing/2014/main" id="{2AEF39AF-868A-5AA7-0EE6-1CB1D986E918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LS=6</a:t>
            </a:r>
          </a:p>
        </xdr:txBody>
      </xdr:sp>
      <xdr:sp macro="" textlink="">
        <xdr:nvSpPr>
          <xdr:cNvPr id="261" name="Rectangle 260">
            <a:extLst>
              <a:ext uri="{FF2B5EF4-FFF2-40B4-BE49-F238E27FC236}">
                <a16:creationId xmlns:a16="http://schemas.microsoft.com/office/drawing/2014/main" id="{13E4A698-7EED-32A3-F789-084924B37462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262" name="Rectangle 261">
            <a:extLst>
              <a:ext uri="{FF2B5EF4-FFF2-40B4-BE49-F238E27FC236}">
                <a16:creationId xmlns:a16="http://schemas.microsoft.com/office/drawing/2014/main" id="{48FE742D-66E1-C002-541F-4BF7C7211441}"/>
              </a:ext>
            </a:extLst>
          </xdr:cNvPr>
          <xdr:cNvSpPr/>
        </xdr:nvSpPr>
        <xdr:spPr>
          <a:xfrm>
            <a:off x="5232399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LF=9</a:t>
            </a:r>
          </a:p>
        </xdr:txBody>
      </xdr:sp>
    </xdr:grpSp>
    <xdr:clientData/>
  </xdr:twoCellAnchor>
  <xdr:twoCellAnchor>
    <xdr:from>
      <xdr:col>1</xdr:col>
      <xdr:colOff>1371600</xdr:colOff>
      <xdr:row>3</xdr:row>
      <xdr:rowOff>53340</xdr:rowOff>
    </xdr:from>
    <xdr:to>
      <xdr:col>3</xdr:col>
      <xdr:colOff>495300</xdr:colOff>
      <xdr:row>13</xdr:row>
      <xdr:rowOff>7620</xdr:rowOff>
    </xdr:to>
    <xdr:grpSp>
      <xdr:nvGrpSpPr>
        <xdr:cNvPr id="298" name="Group 297">
          <a:extLst>
            <a:ext uri="{FF2B5EF4-FFF2-40B4-BE49-F238E27FC236}">
              <a16:creationId xmlns:a16="http://schemas.microsoft.com/office/drawing/2014/main" id="{E118B265-5638-4858-B7AC-26121DDC05DD}"/>
            </a:ext>
          </a:extLst>
        </xdr:cNvPr>
        <xdr:cNvGrpSpPr/>
      </xdr:nvGrpSpPr>
      <xdr:grpSpPr>
        <a:xfrm>
          <a:off x="2552700" y="556260"/>
          <a:ext cx="3398520" cy="1630680"/>
          <a:chOff x="4305300" y="3111500"/>
          <a:chExt cx="1384299" cy="1130300"/>
        </a:xfrm>
      </xdr:grpSpPr>
      <xdr:sp macro="" textlink="">
        <xdr:nvSpPr>
          <xdr:cNvPr id="299" name="Rectangle 298">
            <a:extLst>
              <a:ext uri="{FF2B5EF4-FFF2-40B4-BE49-F238E27FC236}">
                <a16:creationId xmlns:a16="http://schemas.microsoft.com/office/drawing/2014/main" id="{B2344ED7-A89F-7D23-D92A-8203E75EF766}"/>
              </a:ext>
            </a:extLst>
          </xdr:cNvPr>
          <xdr:cNvSpPr/>
        </xdr:nvSpPr>
        <xdr:spPr>
          <a:xfrm>
            <a:off x="4305301" y="3111500"/>
            <a:ext cx="68253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ES= 0</a:t>
            </a:r>
          </a:p>
        </xdr:txBody>
      </xdr:sp>
      <xdr:sp macro="" textlink="">
        <xdr:nvSpPr>
          <xdr:cNvPr id="300" name="Rectangle 299">
            <a:extLst>
              <a:ext uri="{FF2B5EF4-FFF2-40B4-BE49-F238E27FC236}">
                <a16:creationId xmlns:a16="http://schemas.microsoft.com/office/drawing/2014/main" id="{01CAAFB7-1ACC-AC60-BE98-DECD7A364557}"/>
              </a:ext>
            </a:extLst>
          </xdr:cNvPr>
          <xdr:cNvSpPr/>
        </xdr:nvSpPr>
        <xdr:spPr>
          <a:xfrm>
            <a:off x="4992642" y="3111500"/>
            <a:ext cx="69695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EF</a:t>
            </a:r>
            <a:r>
              <a:rPr lang="en-US" sz="11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=</a:t>
            </a:r>
            <a:r>
              <a:rPr lang="en-US" sz="2000" b="1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2</a:t>
            </a:r>
            <a:r>
              <a:rPr lang="en-US">
                <a:effectLst/>
              </a:rPr>
              <a:t> </a:t>
            </a:r>
            <a:endPara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endParaRPr lang="en-US" sz="1100" b="1">
              <a:solidFill>
                <a:schemeClr val="tx1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301" name="Rectangle 300">
            <a:extLst>
              <a:ext uri="{FF2B5EF4-FFF2-40B4-BE49-F238E27FC236}">
                <a16:creationId xmlns:a16="http://schemas.microsoft.com/office/drawing/2014/main" id="{0C217B16-6A51-408D-2066-0FF1E2B246DE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A </a:t>
            </a:r>
          </a:p>
        </xdr:txBody>
      </xdr:sp>
      <xdr:sp macro="" textlink="">
        <xdr:nvSpPr>
          <xdr:cNvPr id="302" name="Rectangle 301">
            <a:extLst>
              <a:ext uri="{FF2B5EF4-FFF2-40B4-BE49-F238E27FC236}">
                <a16:creationId xmlns:a16="http://schemas.microsoft.com/office/drawing/2014/main" id="{C4BD15BB-489C-B0F5-E519-87FDA07FAA5B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LS=0</a:t>
            </a:r>
          </a:p>
        </xdr:txBody>
      </xdr:sp>
      <xdr:sp macro="" textlink="">
        <xdr:nvSpPr>
          <xdr:cNvPr id="303" name="Rectangle 302">
            <a:extLst>
              <a:ext uri="{FF2B5EF4-FFF2-40B4-BE49-F238E27FC236}">
                <a16:creationId xmlns:a16="http://schemas.microsoft.com/office/drawing/2014/main" id="{AB5145ED-D8FD-B74D-BB54-6BC6F262CF60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304" name="Rectangle 303">
            <a:extLst>
              <a:ext uri="{FF2B5EF4-FFF2-40B4-BE49-F238E27FC236}">
                <a16:creationId xmlns:a16="http://schemas.microsoft.com/office/drawing/2014/main" id="{FEC32A27-E4D3-0A0D-F65B-590388D2CDC0}"/>
              </a:ext>
            </a:extLst>
          </xdr:cNvPr>
          <xdr:cNvSpPr/>
        </xdr:nvSpPr>
        <xdr:spPr>
          <a:xfrm>
            <a:off x="5232399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LF=2</a:t>
            </a:r>
          </a:p>
        </xdr:txBody>
      </xdr:sp>
    </xdr:grpSp>
    <xdr:clientData/>
  </xdr:twoCellAnchor>
  <xdr:twoCellAnchor>
    <xdr:from>
      <xdr:col>5</xdr:col>
      <xdr:colOff>358140</xdr:colOff>
      <xdr:row>3</xdr:row>
      <xdr:rowOff>38100</xdr:rowOff>
    </xdr:from>
    <xdr:to>
      <xdr:col>5</xdr:col>
      <xdr:colOff>2156460</xdr:colOff>
      <xdr:row>13</xdr:row>
      <xdr:rowOff>7620</xdr:rowOff>
    </xdr:to>
    <xdr:grpSp>
      <xdr:nvGrpSpPr>
        <xdr:cNvPr id="305" name="Group 304">
          <a:extLst>
            <a:ext uri="{FF2B5EF4-FFF2-40B4-BE49-F238E27FC236}">
              <a16:creationId xmlns:a16="http://schemas.microsoft.com/office/drawing/2014/main" id="{101A6967-7FA4-4A6C-BB73-64ED617194FA}"/>
            </a:ext>
          </a:extLst>
        </xdr:cNvPr>
        <xdr:cNvGrpSpPr/>
      </xdr:nvGrpSpPr>
      <xdr:grpSpPr>
        <a:xfrm>
          <a:off x="8435340" y="541020"/>
          <a:ext cx="1798320" cy="1645920"/>
          <a:chOff x="4305300" y="3111500"/>
          <a:chExt cx="1384300" cy="1130300"/>
        </a:xfrm>
      </xdr:grpSpPr>
      <xdr:sp macro="" textlink="">
        <xdr:nvSpPr>
          <xdr:cNvPr id="306" name="Rectangle 305">
            <a:extLst>
              <a:ext uri="{FF2B5EF4-FFF2-40B4-BE49-F238E27FC236}">
                <a16:creationId xmlns:a16="http://schemas.microsoft.com/office/drawing/2014/main" id="{D43DFEA0-EEF8-FDF7-5AF8-BBB27A742F72}"/>
              </a:ext>
            </a:extLst>
          </xdr:cNvPr>
          <xdr:cNvSpPr/>
        </xdr:nvSpPr>
        <xdr:spPr>
          <a:xfrm>
            <a:off x="4305300" y="3111500"/>
            <a:ext cx="68253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ES=2</a:t>
            </a:r>
          </a:p>
        </xdr:txBody>
      </xdr:sp>
      <xdr:sp macro="" textlink="">
        <xdr:nvSpPr>
          <xdr:cNvPr id="307" name="Rectangle 306">
            <a:extLst>
              <a:ext uri="{FF2B5EF4-FFF2-40B4-BE49-F238E27FC236}">
                <a16:creationId xmlns:a16="http://schemas.microsoft.com/office/drawing/2014/main" id="{290B0104-1E40-00C4-6328-5F18FC98EFF2}"/>
              </a:ext>
            </a:extLst>
          </xdr:cNvPr>
          <xdr:cNvSpPr/>
        </xdr:nvSpPr>
        <xdr:spPr>
          <a:xfrm>
            <a:off x="4992643" y="3111500"/>
            <a:ext cx="69695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EF=4</a:t>
            </a:r>
          </a:p>
        </xdr:txBody>
      </xdr:sp>
      <xdr:sp macro="" textlink="">
        <xdr:nvSpPr>
          <xdr:cNvPr id="308" name="Rectangle 307">
            <a:extLst>
              <a:ext uri="{FF2B5EF4-FFF2-40B4-BE49-F238E27FC236}">
                <a16:creationId xmlns:a16="http://schemas.microsoft.com/office/drawing/2014/main" id="{DB4D1567-DF77-CC03-7374-77C80B02A20F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B</a:t>
            </a:r>
          </a:p>
        </xdr:txBody>
      </xdr:sp>
      <xdr:sp macro="" textlink="">
        <xdr:nvSpPr>
          <xdr:cNvPr id="309" name="Rectangle 308">
            <a:extLst>
              <a:ext uri="{FF2B5EF4-FFF2-40B4-BE49-F238E27FC236}">
                <a16:creationId xmlns:a16="http://schemas.microsoft.com/office/drawing/2014/main" id="{C426DA0D-F992-B76E-F94E-6EE2BFC88397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LS=2</a:t>
            </a:r>
          </a:p>
        </xdr:txBody>
      </xdr:sp>
      <xdr:sp macro="" textlink="">
        <xdr:nvSpPr>
          <xdr:cNvPr id="310" name="Rectangle 309">
            <a:extLst>
              <a:ext uri="{FF2B5EF4-FFF2-40B4-BE49-F238E27FC236}">
                <a16:creationId xmlns:a16="http://schemas.microsoft.com/office/drawing/2014/main" id="{46A2068D-8543-D973-8ABE-B024B449C7E2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311" name="Rectangle 310">
            <a:extLst>
              <a:ext uri="{FF2B5EF4-FFF2-40B4-BE49-F238E27FC236}">
                <a16:creationId xmlns:a16="http://schemas.microsoft.com/office/drawing/2014/main" id="{B1CF7809-8D24-1F10-3D1F-316866FBBAEB}"/>
              </a:ext>
            </a:extLst>
          </xdr:cNvPr>
          <xdr:cNvSpPr/>
        </xdr:nvSpPr>
        <xdr:spPr>
          <a:xfrm>
            <a:off x="5232399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LF=4</a:t>
            </a:r>
          </a:p>
        </xdr:txBody>
      </xdr:sp>
    </xdr:grpSp>
    <xdr:clientData/>
  </xdr:twoCellAnchor>
  <xdr:twoCellAnchor>
    <xdr:from>
      <xdr:col>16</xdr:col>
      <xdr:colOff>373380</xdr:colOff>
      <xdr:row>4</xdr:row>
      <xdr:rowOff>15240</xdr:rowOff>
    </xdr:from>
    <xdr:to>
      <xdr:col>19</xdr:col>
      <xdr:colOff>68580</xdr:colOff>
      <xdr:row>13</xdr:row>
      <xdr:rowOff>152400</xdr:rowOff>
    </xdr:to>
    <xdr:grpSp>
      <xdr:nvGrpSpPr>
        <xdr:cNvPr id="312" name="Group 311">
          <a:extLst>
            <a:ext uri="{FF2B5EF4-FFF2-40B4-BE49-F238E27FC236}">
              <a16:creationId xmlns:a16="http://schemas.microsoft.com/office/drawing/2014/main" id="{6A68D1A4-D678-465C-BEA9-F8362898F2F7}"/>
            </a:ext>
          </a:extLst>
        </xdr:cNvPr>
        <xdr:cNvGrpSpPr/>
      </xdr:nvGrpSpPr>
      <xdr:grpSpPr>
        <a:xfrm>
          <a:off x="18013680" y="685800"/>
          <a:ext cx="1798320" cy="1645920"/>
          <a:chOff x="4305300" y="3111500"/>
          <a:chExt cx="1384300" cy="1130300"/>
        </a:xfrm>
      </xdr:grpSpPr>
      <xdr:sp macro="" textlink="">
        <xdr:nvSpPr>
          <xdr:cNvPr id="313" name="Rectangle 312">
            <a:extLst>
              <a:ext uri="{FF2B5EF4-FFF2-40B4-BE49-F238E27FC236}">
                <a16:creationId xmlns:a16="http://schemas.microsoft.com/office/drawing/2014/main" id="{837ADBA9-61A1-48DC-95FD-EE02EF5FB9A2}"/>
              </a:ext>
            </a:extLst>
          </xdr:cNvPr>
          <xdr:cNvSpPr/>
        </xdr:nvSpPr>
        <xdr:spPr>
          <a:xfrm>
            <a:off x="4305300" y="3111500"/>
            <a:ext cx="68253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ES=9</a:t>
            </a:r>
          </a:p>
        </xdr:txBody>
      </xdr:sp>
      <xdr:sp macro="" textlink="">
        <xdr:nvSpPr>
          <xdr:cNvPr id="314" name="Rectangle 313">
            <a:extLst>
              <a:ext uri="{FF2B5EF4-FFF2-40B4-BE49-F238E27FC236}">
                <a16:creationId xmlns:a16="http://schemas.microsoft.com/office/drawing/2014/main" id="{99351F29-8271-D548-FA11-7E68B6643542}"/>
              </a:ext>
            </a:extLst>
          </xdr:cNvPr>
          <xdr:cNvSpPr/>
        </xdr:nvSpPr>
        <xdr:spPr>
          <a:xfrm>
            <a:off x="4992643" y="3111500"/>
            <a:ext cx="69695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EF=11</a:t>
            </a:r>
          </a:p>
        </xdr:txBody>
      </xdr:sp>
      <xdr:sp macro="" textlink="">
        <xdr:nvSpPr>
          <xdr:cNvPr id="315" name="Rectangle 314">
            <a:extLst>
              <a:ext uri="{FF2B5EF4-FFF2-40B4-BE49-F238E27FC236}">
                <a16:creationId xmlns:a16="http://schemas.microsoft.com/office/drawing/2014/main" id="{A38AC47D-C8A6-7FF6-70EC-C97C8C569ED5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</a:t>
            </a:r>
          </a:p>
        </xdr:txBody>
      </xdr:sp>
      <xdr:sp macro="" textlink="">
        <xdr:nvSpPr>
          <xdr:cNvPr id="316" name="Rectangle 315">
            <a:extLst>
              <a:ext uri="{FF2B5EF4-FFF2-40B4-BE49-F238E27FC236}">
                <a16:creationId xmlns:a16="http://schemas.microsoft.com/office/drawing/2014/main" id="{29B83BD5-32DC-2ED4-4E2A-CA4B8E434AD0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LS=9</a:t>
            </a:r>
          </a:p>
        </xdr:txBody>
      </xdr:sp>
      <xdr:sp macro="" textlink="">
        <xdr:nvSpPr>
          <xdr:cNvPr id="317" name="Rectangle 316">
            <a:extLst>
              <a:ext uri="{FF2B5EF4-FFF2-40B4-BE49-F238E27FC236}">
                <a16:creationId xmlns:a16="http://schemas.microsoft.com/office/drawing/2014/main" id="{2B1FBB42-AC9C-867E-33FD-40D527FB348F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318" name="Rectangle 317">
            <a:extLst>
              <a:ext uri="{FF2B5EF4-FFF2-40B4-BE49-F238E27FC236}">
                <a16:creationId xmlns:a16="http://schemas.microsoft.com/office/drawing/2014/main" id="{E3D1044D-BC9F-382E-1298-4404B105DF7F}"/>
              </a:ext>
            </a:extLst>
          </xdr:cNvPr>
          <xdr:cNvSpPr/>
        </xdr:nvSpPr>
        <xdr:spPr>
          <a:xfrm>
            <a:off x="5232399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LF=11</a:t>
            </a:r>
          </a:p>
        </xdr:txBody>
      </xdr:sp>
    </xdr:grpSp>
    <xdr:clientData/>
  </xdr:twoCellAnchor>
  <xdr:twoCellAnchor>
    <xdr:from>
      <xdr:col>18</xdr:col>
      <xdr:colOff>358140</xdr:colOff>
      <xdr:row>17</xdr:row>
      <xdr:rowOff>38100</xdr:rowOff>
    </xdr:from>
    <xdr:to>
      <xdr:col>21</xdr:col>
      <xdr:colOff>327660</xdr:colOff>
      <xdr:row>26</xdr:row>
      <xdr:rowOff>175260</xdr:rowOff>
    </xdr:to>
    <xdr:grpSp>
      <xdr:nvGrpSpPr>
        <xdr:cNvPr id="319" name="Group 318">
          <a:extLst>
            <a:ext uri="{FF2B5EF4-FFF2-40B4-BE49-F238E27FC236}">
              <a16:creationId xmlns:a16="http://schemas.microsoft.com/office/drawing/2014/main" id="{4CC2D72A-8305-40A4-A356-160D3FDFF90F}"/>
            </a:ext>
          </a:extLst>
        </xdr:cNvPr>
        <xdr:cNvGrpSpPr/>
      </xdr:nvGrpSpPr>
      <xdr:grpSpPr>
        <a:xfrm>
          <a:off x="19491960" y="2933700"/>
          <a:ext cx="1798320" cy="2019300"/>
          <a:chOff x="4305300" y="3111500"/>
          <a:chExt cx="1384300" cy="1130300"/>
        </a:xfrm>
      </xdr:grpSpPr>
      <xdr:sp macro="" textlink="">
        <xdr:nvSpPr>
          <xdr:cNvPr id="320" name="Rectangle 319">
            <a:extLst>
              <a:ext uri="{FF2B5EF4-FFF2-40B4-BE49-F238E27FC236}">
                <a16:creationId xmlns:a16="http://schemas.microsoft.com/office/drawing/2014/main" id="{1DDC1B7F-57DA-3563-DC14-282F03580A2E}"/>
              </a:ext>
            </a:extLst>
          </xdr:cNvPr>
          <xdr:cNvSpPr/>
        </xdr:nvSpPr>
        <xdr:spPr>
          <a:xfrm>
            <a:off x="4305300" y="3111501"/>
            <a:ext cx="68253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ES=11</a:t>
            </a:r>
          </a:p>
        </xdr:txBody>
      </xdr:sp>
      <xdr:sp macro="" textlink="">
        <xdr:nvSpPr>
          <xdr:cNvPr id="321" name="Rectangle 320">
            <a:extLst>
              <a:ext uri="{FF2B5EF4-FFF2-40B4-BE49-F238E27FC236}">
                <a16:creationId xmlns:a16="http://schemas.microsoft.com/office/drawing/2014/main" id="{F8686EFC-282C-8E10-C686-F935ED2EB5B5}"/>
              </a:ext>
            </a:extLst>
          </xdr:cNvPr>
          <xdr:cNvSpPr/>
        </xdr:nvSpPr>
        <xdr:spPr>
          <a:xfrm>
            <a:off x="4992643" y="3111500"/>
            <a:ext cx="69695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EF=14</a:t>
            </a:r>
          </a:p>
        </xdr:txBody>
      </xdr:sp>
      <xdr:sp macro="" textlink="">
        <xdr:nvSpPr>
          <xdr:cNvPr id="322" name="Rectangle 321">
            <a:extLst>
              <a:ext uri="{FF2B5EF4-FFF2-40B4-BE49-F238E27FC236}">
                <a16:creationId xmlns:a16="http://schemas.microsoft.com/office/drawing/2014/main" id="{10DADCFF-D57A-4077-5AF4-BC1C5A1E3A51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F</a:t>
            </a:r>
          </a:p>
        </xdr:txBody>
      </xdr:sp>
      <xdr:sp macro="" textlink="">
        <xdr:nvSpPr>
          <xdr:cNvPr id="323" name="Rectangle 322">
            <a:extLst>
              <a:ext uri="{FF2B5EF4-FFF2-40B4-BE49-F238E27FC236}">
                <a16:creationId xmlns:a16="http://schemas.microsoft.com/office/drawing/2014/main" id="{AC206A3D-FFCC-C947-98B7-A9A56E6F645B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LS=11</a:t>
            </a:r>
          </a:p>
        </xdr:txBody>
      </xdr:sp>
      <xdr:sp macro="" textlink="">
        <xdr:nvSpPr>
          <xdr:cNvPr id="324" name="Rectangle 323">
            <a:extLst>
              <a:ext uri="{FF2B5EF4-FFF2-40B4-BE49-F238E27FC236}">
                <a16:creationId xmlns:a16="http://schemas.microsoft.com/office/drawing/2014/main" id="{B483B7F4-DE0D-97A1-C9D6-D9EA64B8BD13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325" name="Rectangle 324">
            <a:extLst>
              <a:ext uri="{FF2B5EF4-FFF2-40B4-BE49-F238E27FC236}">
                <a16:creationId xmlns:a16="http://schemas.microsoft.com/office/drawing/2014/main" id="{905E2BF3-8E85-6889-7CB6-76ACDCF7067D}"/>
              </a:ext>
            </a:extLst>
          </xdr:cNvPr>
          <xdr:cNvSpPr/>
        </xdr:nvSpPr>
        <xdr:spPr>
          <a:xfrm>
            <a:off x="5232399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LF=14</a:t>
            </a:r>
          </a:p>
        </xdr:txBody>
      </xdr:sp>
    </xdr:grpSp>
    <xdr:clientData/>
  </xdr:twoCellAnchor>
  <xdr:twoCellAnchor>
    <xdr:from>
      <xdr:col>15</xdr:col>
      <xdr:colOff>449580</xdr:colOff>
      <xdr:row>30</xdr:row>
      <xdr:rowOff>160020</xdr:rowOff>
    </xdr:from>
    <xdr:to>
      <xdr:col>18</xdr:col>
      <xdr:colOff>144780</xdr:colOff>
      <xdr:row>41</xdr:row>
      <xdr:rowOff>160020</xdr:rowOff>
    </xdr:to>
    <xdr:grpSp>
      <xdr:nvGrpSpPr>
        <xdr:cNvPr id="326" name="Group 325">
          <a:extLst>
            <a:ext uri="{FF2B5EF4-FFF2-40B4-BE49-F238E27FC236}">
              <a16:creationId xmlns:a16="http://schemas.microsoft.com/office/drawing/2014/main" id="{9539E4DD-CC8C-401D-8D04-628789E99B86}"/>
            </a:ext>
          </a:extLst>
        </xdr:cNvPr>
        <xdr:cNvGrpSpPr/>
      </xdr:nvGrpSpPr>
      <xdr:grpSpPr>
        <a:xfrm>
          <a:off x="17480280" y="5707380"/>
          <a:ext cx="1798320" cy="1844040"/>
          <a:chOff x="4305300" y="3111500"/>
          <a:chExt cx="1384300" cy="1130300"/>
        </a:xfrm>
      </xdr:grpSpPr>
      <xdr:sp macro="" textlink="">
        <xdr:nvSpPr>
          <xdr:cNvPr id="327" name="Rectangle 326">
            <a:extLst>
              <a:ext uri="{FF2B5EF4-FFF2-40B4-BE49-F238E27FC236}">
                <a16:creationId xmlns:a16="http://schemas.microsoft.com/office/drawing/2014/main" id="{BA148DDC-A2C5-2240-D554-A72305A1D21B}"/>
              </a:ext>
            </a:extLst>
          </xdr:cNvPr>
          <xdr:cNvSpPr/>
        </xdr:nvSpPr>
        <xdr:spPr>
          <a:xfrm>
            <a:off x="4305300" y="3111500"/>
            <a:ext cx="68253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ES=11</a:t>
            </a:r>
          </a:p>
        </xdr:txBody>
      </xdr:sp>
      <xdr:sp macro="" textlink="">
        <xdr:nvSpPr>
          <xdr:cNvPr id="328" name="Rectangle 327">
            <a:extLst>
              <a:ext uri="{FF2B5EF4-FFF2-40B4-BE49-F238E27FC236}">
                <a16:creationId xmlns:a16="http://schemas.microsoft.com/office/drawing/2014/main" id="{F0D57A86-EE46-E556-ED09-1BD14A8089B9}"/>
              </a:ext>
            </a:extLst>
          </xdr:cNvPr>
          <xdr:cNvSpPr/>
        </xdr:nvSpPr>
        <xdr:spPr>
          <a:xfrm>
            <a:off x="4992643" y="3111500"/>
            <a:ext cx="696957" cy="368300"/>
          </a:xfrm>
          <a:prstGeom prst="rect">
            <a:avLst/>
          </a:prstGeom>
          <a:solidFill>
            <a:srgbClr val="BCE659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EF=14</a:t>
            </a:r>
          </a:p>
        </xdr:txBody>
      </xdr:sp>
      <xdr:sp macro="" textlink="">
        <xdr:nvSpPr>
          <xdr:cNvPr id="329" name="Rectangle 328">
            <a:extLst>
              <a:ext uri="{FF2B5EF4-FFF2-40B4-BE49-F238E27FC236}">
                <a16:creationId xmlns:a16="http://schemas.microsoft.com/office/drawing/2014/main" id="{82368651-35F0-E49B-643F-CA1FD4354270}"/>
              </a:ext>
            </a:extLst>
          </xdr:cNvPr>
          <xdr:cNvSpPr/>
        </xdr:nvSpPr>
        <xdr:spPr>
          <a:xfrm>
            <a:off x="4305300" y="3492500"/>
            <a:ext cx="1380744" cy="36830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G</a:t>
            </a:r>
          </a:p>
        </xdr:txBody>
      </xdr:sp>
      <xdr:sp macro="" textlink="">
        <xdr:nvSpPr>
          <xdr:cNvPr id="330" name="Rectangle 329">
            <a:extLst>
              <a:ext uri="{FF2B5EF4-FFF2-40B4-BE49-F238E27FC236}">
                <a16:creationId xmlns:a16="http://schemas.microsoft.com/office/drawing/2014/main" id="{E44BC575-98DF-097A-3F4E-F49E31514D3E}"/>
              </a:ext>
            </a:extLst>
          </xdr:cNvPr>
          <xdr:cNvSpPr/>
        </xdr:nvSpPr>
        <xdr:spPr>
          <a:xfrm>
            <a:off x="4305300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LS=11</a:t>
            </a:r>
          </a:p>
        </xdr:txBody>
      </xdr:sp>
      <xdr:sp macro="" textlink="">
        <xdr:nvSpPr>
          <xdr:cNvPr id="331" name="Rectangle 330">
            <a:extLst>
              <a:ext uri="{FF2B5EF4-FFF2-40B4-BE49-F238E27FC236}">
                <a16:creationId xmlns:a16="http://schemas.microsoft.com/office/drawing/2014/main" id="{DD76F819-A2D9-B376-E446-FDF59892E243}"/>
              </a:ext>
            </a:extLst>
          </xdr:cNvPr>
          <xdr:cNvSpPr/>
        </xdr:nvSpPr>
        <xdr:spPr>
          <a:xfrm>
            <a:off x="4762500" y="3873500"/>
            <a:ext cx="469900" cy="368300"/>
          </a:xfrm>
          <a:prstGeom prst="rect">
            <a:avLst/>
          </a:prstGeom>
          <a:solidFill>
            <a:srgbClr val="43AEA2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  <a:latin typeface="Century Gothic" panose="020B0502020202020204" pitchFamily="34" charset="0"/>
              </a:rPr>
              <a:t>0</a:t>
            </a:r>
          </a:p>
        </xdr:txBody>
      </xdr:sp>
      <xdr:sp macro="" textlink="">
        <xdr:nvSpPr>
          <xdr:cNvPr id="332" name="Rectangle 331">
            <a:extLst>
              <a:ext uri="{FF2B5EF4-FFF2-40B4-BE49-F238E27FC236}">
                <a16:creationId xmlns:a16="http://schemas.microsoft.com/office/drawing/2014/main" id="{A4B35BCB-C15B-F330-13A5-D99520D39CBE}"/>
              </a:ext>
            </a:extLst>
          </xdr:cNvPr>
          <xdr:cNvSpPr/>
        </xdr:nvSpPr>
        <xdr:spPr>
          <a:xfrm>
            <a:off x="5232399" y="3873500"/>
            <a:ext cx="457200" cy="368300"/>
          </a:xfrm>
          <a:prstGeom prst="rect">
            <a:avLst/>
          </a:prstGeom>
          <a:solidFill>
            <a:srgbClr val="5AE6D5"/>
          </a:solidFill>
          <a:ln>
            <a:solidFill>
              <a:schemeClr val="bg1">
                <a:lumMod val="75000"/>
              </a:schemeClr>
            </a:solidFill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  <a:latin typeface="Century Gothic" panose="020B0502020202020204" pitchFamily="34" charset="0"/>
              </a:rPr>
              <a:t>LF=14</a:t>
            </a:r>
          </a:p>
        </xdr:txBody>
      </xdr:sp>
    </xdr:grpSp>
    <xdr:clientData/>
  </xdr:twoCellAnchor>
  <xdr:twoCellAnchor>
    <xdr:from>
      <xdr:col>3</xdr:col>
      <xdr:colOff>490603</xdr:colOff>
      <xdr:row>8</xdr:row>
      <xdr:rowOff>22860</xdr:rowOff>
    </xdr:from>
    <xdr:to>
      <xdr:col>5</xdr:col>
      <xdr:colOff>358140</xdr:colOff>
      <xdr:row>8</xdr:row>
      <xdr:rowOff>30480</xdr:rowOff>
    </xdr:to>
    <xdr:cxnSp macro="">
      <xdr:nvCxnSpPr>
        <xdr:cNvPr id="333" name="Straight Arrow Connector 332">
          <a:extLst>
            <a:ext uri="{FF2B5EF4-FFF2-40B4-BE49-F238E27FC236}">
              <a16:creationId xmlns:a16="http://schemas.microsoft.com/office/drawing/2014/main" id="{9E660370-824D-4022-A0CB-F001C8F8532E}"/>
            </a:ext>
          </a:extLst>
        </xdr:cNvPr>
        <xdr:cNvCxnSpPr>
          <a:stCxn id="301" idx="3"/>
          <a:endCxn id="308" idx="1"/>
        </xdr:cNvCxnSpPr>
      </xdr:nvCxnSpPr>
      <xdr:spPr>
        <a:xfrm flipV="1">
          <a:off x="4376803" y="1363980"/>
          <a:ext cx="2031617" cy="762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2151840</xdr:colOff>
      <xdr:row>8</xdr:row>
      <xdr:rowOff>22860</xdr:rowOff>
    </xdr:from>
    <xdr:to>
      <xdr:col>7</xdr:col>
      <xdr:colOff>525780</xdr:colOff>
      <xdr:row>8</xdr:row>
      <xdr:rowOff>33020</xdr:rowOff>
    </xdr:to>
    <xdr:cxnSp macro="">
      <xdr:nvCxnSpPr>
        <xdr:cNvPr id="336" name="Straight Arrow Connector 335">
          <a:extLst>
            <a:ext uri="{FF2B5EF4-FFF2-40B4-BE49-F238E27FC236}">
              <a16:creationId xmlns:a16="http://schemas.microsoft.com/office/drawing/2014/main" id="{CEFF27D1-87F0-42D5-87CB-E015E2B4A121}"/>
            </a:ext>
          </a:extLst>
        </xdr:cNvPr>
        <xdr:cNvCxnSpPr>
          <a:stCxn id="308" idx="3"/>
          <a:endCxn id="204" idx="1"/>
        </xdr:cNvCxnSpPr>
      </xdr:nvCxnSpPr>
      <xdr:spPr>
        <a:xfrm>
          <a:off x="7226760" y="1363980"/>
          <a:ext cx="1955340" cy="1016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300180</xdr:colOff>
      <xdr:row>8</xdr:row>
      <xdr:rowOff>33020</xdr:rowOff>
    </xdr:from>
    <xdr:to>
      <xdr:col>12</xdr:col>
      <xdr:colOff>243840</xdr:colOff>
      <xdr:row>8</xdr:row>
      <xdr:rowOff>91440</xdr:rowOff>
    </xdr:to>
    <xdr:cxnSp macro="">
      <xdr:nvCxnSpPr>
        <xdr:cNvPr id="337" name="Straight Arrow Connector 336">
          <a:extLst>
            <a:ext uri="{FF2B5EF4-FFF2-40B4-BE49-F238E27FC236}">
              <a16:creationId xmlns:a16="http://schemas.microsoft.com/office/drawing/2014/main" id="{7E07A0D2-86E4-4873-BA2C-C4218DCD850F}"/>
            </a:ext>
          </a:extLst>
        </xdr:cNvPr>
        <xdr:cNvCxnSpPr>
          <a:stCxn id="204" idx="3"/>
          <a:endCxn id="259" idx="1"/>
        </xdr:cNvCxnSpPr>
      </xdr:nvCxnSpPr>
      <xdr:spPr>
        <a:xfrm>
          <a:off x="10975800" y="1374140"/>
          <a:ext cx="1315260" cy="5842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56340</xdr:colOff>
      <xdr:row>8</xdr:row>
      <xdr:rowOff>91440</xdr:rowOff>
    </xdr:from>
    <xdr:to>
      <xdr:col>16</xdr:col>
      <xdr:colOff>373380</xdr:colOff>
      <xdr:row>9</xdr:row>
      <xdr:rowOff>0</xdr:rowOff>
    </xdr:to>
    <xdr:cxnSp macro="">
      <xdr:nvCxnSpPr>
        <xdr:cNvPr id="338" name="Straight Arrow Connector 337">
          <a:extLst>
            <a:ext uri="{FF2B5EF4-FFF2-40B4-BE49-F238E27FC236}">
              <a16:creationId xmlns:a16="http://schemas.microsoft.com/office/drawing/2014/main" id="{50E8D643-5D4F-4845-8DBF-D1BEEE7CC996}"/>
            </a:ext>
          </a:extLst>
        </xdr:cNvPr>
        <xdr:cNvCxnSpPr>
          <a:stCxn id="259" idx="3"/>
          <a:endCxn id="315" idx="1"/>
        </xdr:cNvCxnSpPr>
      </xdr:nvCxnSpPr>
      <xdr:spPr>
        <a:xfrm>
          <a:off x="14084760" y="1432560"/>
          <a:ext cx="926640" cy="7620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382375</xdr:colOff>
      <xdr:row>5</xdr:row>
      <xdr:rowOff>115756</xdr:rowOff>
    </xdr:from>
    <xdr:to>
      <xdr:col>20</xdr:col>
      <xdr:colOff>31855</xdr:colOff>
      <xdr:row>18</xdr:row>
      <xdr:rowOff>138616</xdr:rowOff>
    </xdr:to>
    <xdr:cxnSp macro="">
      <xdr:nvCxnSpPr>
        <xdr:cNvPr id="339" name="Straight Arrow Connector 338">
          <a:extLst>
            <a:ext uri="{FF2B5EF4-FFF2-40B4-BE49-F238E27FC236}">
              <a16:creationId xmlns:a16="http://schemas.microsoft.com/office/drawing/2014/main" id="{C248CD32-80AC-4143-B4D2-1209482F7E8D}"/>
            </a:ext>
          </a:extLst>
        </xdr:cNvPr>
        <xdr:cNvCxnSpPr>
          <a:stCxn id="314" idx="1"/>
          <a:endCxn id="321" idx="1"/>
        </xdr:cNvCxnSpPr>
      </xdr:nvCxnSpPr>
      <xdr:spPr>
        <a:xfrm>
          <a:off x="16879675" y="953956"/>
          <a:ext cx="1478280" cy="2202180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726652</xdr:colOff>
      <xdr:row>26</xdr:row>
      <xdr:rowOff>175260</xdr:rowOff>
    </xdr:from>
    <xdr:to>
      <xdr:col>20</xdr:col>
      <xdr:colOff>38101</xdr:colOff>
      <xdr:row>32</xdr:row>
      <xdr:rowOff>125174</xdr:rowOff>
    </xdr:to>
    <xdr:cxnSp macro="">
      <xdr:nvCxnSpPr>
        <xdr:cNvPr id="340" name="Straight Arrow Connector 339">
          <a:extLst>
            <a:ext uri="{FF2B5EF4-FFF2-40B4-BE49-F238E27FC236}">
              <a16:creationId xmlns:a16="http://schemas.microsoft.com/office/drawing/2014/main" id="{8C6C954A-300C-4070-B41D-B261375130DC}"/>
            </a:ext>
          </a:extLst>
        </xdr:cNvPr>
        <xdr:cNvCxnSpPr>
          <a:stCxn id="324" idx="2"/>
          <a:endCxn id="327" idx="3"/>
        </xdr:cNvCxnSpPr>
      </xdr:nvCxnSpPr>
      <xdr:spPr>
        <a:xfrm flipH="1">
          <a:off x="16340032" y="4533900"/>
          <a:ext cx="2024169" cy="1153874"/>
        </a:xfrm>
        <a:prstGeom prst="straightConnector1">
          <a:avLst/>
        </a:prstGeom>
        <a:ln w="31750">
          <a:solidFill>
            <a:srgbClr val="FF0000"/>
          </a:solidFill>
          <a:tailEnd type="stealth" w="lg" len="med"/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0</xdr:rowOff>
    </xdr:from>
    <xdr:to>
      <xdr:col>17</xdr:col>
      <xdr:colOff>542925</xdr:colOff>
      <xdr:row>67</xdr:row>
      <xdr:rowOff>30480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D77337-DD4F-4772-DC46-47309A19E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7600" y="1508760"/>
          <a:ext cx="7248525" cy="9753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289560</xdr:colOff>
      <xdr:row>0</xdr:row>
      <xdr:rowOff>152400</xdr:rowOff>
    </xdr:from>
    <xdr:to>
      <xdr:col>16</xdr:col>
      <xdr:colOff>289560</xdr:colOff>
      <xdr:row>59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B09F9-84C0-4D57-FCB8-DD2863D42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7960" y="152400"/>
          <a:ext cx="7315200" cy="9753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66675</xdr:colOff>
      <xdr:row>46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766E7-CE1B-8755-641D-31DDE1E44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45075" cy="7810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19</xdr:col>
      <xdr:colOff>95250</xdr:colOff>
      <xdr:row>79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8D555-EF37-34C2-3B6A-2F8F7F034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1341120"/>
          <a:ext cx="6800850" cy="12020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CEF75-FED7-4309-8F93-268F69708191}" name="Table1" displayName="Table1" ref="B16:M23" totalsRowShown="0">
  <autoFilter ref="B16:M23" xr:uid="{97CCEF75-FED7-4309-8F93-268F69708191}"/>
  <tableColumns count="12">
    <tableColumn id="1" xr3:uid="{49528197-6783-4280-9955-D24D3D4E4123}" name="previous activity "/>
    <tableColumn id="12" xr3:uid="{B67603E5-1FFA-4D79-A89C-A8B30DA1F9BE}" name="Activity" dataDxfId="2" dataCellStyle="Normal 2"/>
    <tableColumn id="2" xr3:uid="{8E46FF9E-EBBC-4E86-943A-5CD2A977A747}" name="Activity ID"/>
    <tableColumn id="3" xr3:uid="{9D7FB681-9636-4742-82BD-FE1FB25BA651}" name="TE">
      <calculatedColumnFormula>ROUND((F17+4*G17+H17)/6,0)</calculatedColumnFormula>
    </tableColumn>
    <tableColumn id="4" xr3:uid="{76E128F0-458F-4070-8D9E-C7DC2B51FA77}" name="O"/>
    <tableColumn id="5" xr3:uid="{5176F394-2D24-4581-A3D9-D3D30F30C89C}" name="M"/>
    <tableColumn id="6" xr3:uid="{8502310D-155D-4743-B001-0B9B697BDCD5}" name="P"/>
    <tableColumn id="7" xr3:uid="{65DD6348-EEEA-4A8B-9726-EB9A906BE7B6}" name="LS">
      <calculatedColumnFormula>L17</calculatedColumnFormula>
    </tableColumn>
    <tableColumn id="8" xr3:uid="{1E376669-0C3F-4E53-8914-F330A56099D5}" name="LF">
      <calculatedColumnFormula>K17</calculatedColumnFormula>
    </tableColumn>
    <tableColumn id="9" xr3:uid="{58BF6169-A2DB-493E-B67F-F874B79C0062}" name="EF">
      <calculatedColumnFormula>L17+E17</calculatedColumnFormula>
    </tableColumn>
    <tableColumn id="10" xr3:uid="{E26074D0-4512-4680-AE73-75199DA04145}" name="ES"/>
    <tableColumn id="11" xr3:uid="{3BB6796F-2611-4EB5-AEEA-343EBE9BE717}" name="slack">
      <calculatedColumnFormula>I17-L17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T75"/>
  <sheetViews>
    <sheetView tabSelected="1" topLeftCell="A6" zoomScale="110" zoomScaleNormal="110" workbookViewId="0">
      <selection activeCell="E11" sqref="E11"/>
    </sheetView>
  </sheetViews>
  <sheetFormatPr defaultColWidth="9.109375" defaultRowHeight="15" x14ac:dyDescent="0.35"/>
  <cols>
    <col min="1" max="2" width="2.33203125" style="1" customWidth="1"/>
    <col min="3" max="3" width="4.21875" style="1" customWidth="1"/>
    <col min="4" max="4" width="91.21875" style="1" bestFit="1" customWidth="1"/>
    <col min="5" max="5" width="39.33203125" style="1" customWidth="1"/>
    <col min="6" max="6" width="10.6640625" style="1" bestFit="1" customWidth="1"/>
    <col min="7" max="7" width="10.33203125" style="1" bestFit="1" customWidth="1"/>
    <col min="8" max="8" width="8.33203125" style="1" bestFit="1" customWidth="1"/>
    <col min="9" max="9" width="11.5546875" style="1" customWidth="1"/>
    <col min="10" max="11" width="5.5546875" style="1" customWidth="1"/>
    <col min="12" max="12" width="3" style="1" customWidth="1"/>
    <col min="13" max="46" width="2" style="1" customWidth="1"/>
    <col min="47" max="48" width="2.33203125" style="1" customWidth="1"/>
    <col min="49" max="62" width="3.77734375" style="1" customWidth="1"/>
    <col min="63" max="16384" width="9.109375" style="1"/>
  </cols>
  <sheetData>
    <row r="1" spans="3:46" x14ac:dyDescent="0.35">
      <c r="C1" s="2"/>
    </row>
    <row r="2" spans="3:46" x14ac:dyDescent="0.35">
      <c r="C2" s="59" t="s">
        <v>34</v>
      </c>
      <c r="D2" s="60"/>
      <c r="E2" s="60"/>
      <c r="F2" s="60"/>
      <c r="G2" s="60"/>
      <c r="H2" s="60"/>
      <c r="I2" s="28"/>
    </row>
    <row r="3" spans="3:46" x14ac:dyDescent="0.35">
      <c r="C3" s="42" t="s">
        <v>35</v>
      </c>
      <c r="D3" s="43"/>
      <c r="E3" s="28"/>
      <c r="F3" s="28"/>
      <c r="G3" s="28"/>
      <c r="H3" s="28"/>
      <c r="I3" s="28"/>
    </row>
    <row r="4" spans="3:46" x14ac:dyDescent="0.35">
      <c r="C4" s="59" t="s">
        <v>36</v>
      </c>
      <c r="D4" s="60"/>
      <c r="E4" s="60"/>
      <c r="F4" s="60"/>
      <c r="G4" s="60"/>
      <c r="H4" s="60"/>
      <c r="I4" s="44">
        <f>23011370</f>
        <v>23011370</v>
      </c>
    </row>
    <row r="5" spans="3:46" x14ac:dyDescent="0.35">
      <c r="C5" s="2"/>
    </row>
    <row r="6" spans="3:46" ht="19.2" customHeight="1" x14ac:dyDescent="0.35">
      <c r="C6" s="56" t="s">
        <v>2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8"/>
    </row>
    <row r="7" spans="3:46" ht="16.8" customHeight="1" x14ac:dyDescent="0.35">
      <c r="C7" s="5"/>
      <c r="D7" s="55" t="s">
        <v>4</v>
      </c>
      <c r="E7" s="55"/>
      <c r="F7" s="55"/>
      <c r="G7" s="55"/>
      <c r="H7" s="55"/>
      <c r="I7" s="55"/>
      <c r="J7" s="55"/>
      <c r="K7" s="55"/>
      <c r="L7" s="25">
        <v>1</v>
      </c>
      <c r="M7" s="25"/>
      <c r="N7" s="25"/>
      <c r="O7" s="25"/>
      <c r="P7" s="25"/>
      <c r="Q7" s="25"/>
      <c r="R7" s="26"/>
      <c r="S7" s="25">
        <v>2</v>
      </c>
      <c r="T7" s="25"/>
      <c r="U7" s="25"/>
      <c r="V7" s="25"/>
      <c r="W7" s="25"/>
      <c r="X7" s="25"/>
      <c r="Y7" s="26"/>
      <c r="Z7" s="25">
        <v>3</v>
      </c>
      <c r="AA7" s="25"/>
      <c r="AB7" s="25"/>
      <c r="AC7" s="25"/>
      <c r="AD7" s="25"/>
      <c r="AE7" s="25"/>
      <c r="AF7" s="26"/>
      <c r="AG7" s="25">
        <v>4</v>
      </c>
      <c r="AH7" s="25"/>
      <c r="AI7" s="25"/>
      <c r="AJ7" s="25"/>
      <c r="AK7" s="25"/>
      <c r="AL7" s="25"/>
      <c r="AM7" s="26"/>
      <c r="AN7" s="25">
        <v>5</v>
      </c>
      <c r="AO7" s="25"/>
      <c r="AP7" s="25"/>
      <c r="AQ7" s="25"/>
      <c r="AR7" s="25"/>
      <c r="AS7" s="25"/>
      <c r="AT7" s="27"/>
    </row>
    <row r="8" spans="3:46" ht="16.8" customHeight="1" x14ac:dyDescent="0.35">
      <c r="C8" s="6" t="s">
        <v>6</v>
      </c>
      <c r="D8" s="3" t="s">
        <v>3</v>
      </c>
      <c r="E8" s="3" t="s">
        <v>5</v>
      </c>
      <c r="F8" s="3" t="s">
        <v>6</v>
      </c>
      <c r="G8" s="3" t="s">
        <v>11</v>
      </c>
      <c r="H8" s="3" t="s">
        <v>10</v>
      </c>
      <c r="I8" s="3" t="s">
        <v>33</v>
      </c>
      <c r="J8" s="4" t="s">
        <v>0</v>
      </c>
      <c r="K8" s="4" t="s">
        <v>1</v>
      </c>
      <c r="L8" s="11">
        <v>1</v>
      </c>
      <c r="M8" s="17">
        <v>2</v>
      </c>
      <c r="N8" s="17">
        <v>3</v>
      </c>
      <c r="O8" s="17">
        <v>4</v>
      </c>
      <c r="P8" s="17">
        <v>5</v>
      </c>
      <c r="Q8" s="18">
        <v>6</v>
      </c>
      <c r="R8" s="19">
        <v>7</v>
      </c>
      <c r="S8" s="17">
        <v>8</v>
      </c>
      <c r="T8" s="17">
        <v>9</v>
      </c>
      <c r="U8" s="17">
        <v>10</v>
      </c>
      <c r="V8" s="17">
        <v>11</v>
      </c>
      <c r="W8" s="17">
        <v>12</v>
      </c>
      <c r="X8" s="18">
        <v>13</v>
      </c>
      <c r="Y8" s="19">
        <v>14</v>
      </c>
      <c r="Z8" s="17">
        <v>15</v>
      </c>
      <c r="AA8" s="17">
        <v>16</v>
      </c>
      <c r="AB8" s="17">
        <v>17</v>
      </c>
      <c r="AC8" s="17">
        <v>18</v>
      </c>
      <c r="AD8" s="17">
        <v>19</v>
      </c>
      <c r="AE8" s="18">
        <v>20</v>
      </c>
      <c r="AF8" s="19">
        <v>21</v>
      </c>
      <c r="AG8" s="17">
        <v>22</v>
      </c>
      <c r="AH8" s="17">
        <v>23</v>
      </c>
      <c r="AI8" s="17">
        <v>24</v>
      </c>
      <c r="AJ8" s="17">
        <v>25</v>
      </c>
      <c r="AK8" s="17">
        <v>26</v>
      </c>
      <c r="AL8" s="18">
        <v>27</v>
      </c>
      <c r="AM8" s="19">
        <v>28</v>
      </c>
      <c r="AN8" s="17">
        <v>29</v>
      </c>
      <c r="AO8" s="17">
        <v>30</v>
      </c>
      <c r="AP8" s="17">
        <v>31</v>
      </c>
      <c r="AQ8" s="17">
        <v>32</v>
      </c>
      <c r="AR8" s="17">
        <v>33</v>
      </c>
      <c r="AS8" s="18">
        <v>34</v>
      </c>
      <c r="AT8" s="20">
        <v>35</v>
      </c>
    </row>
    <row r="9" spans="3:46" ht="26.4" customHeight="1" x14ac:dyDescent="0.4">
      <c r="C9" s="12">
        <v>1</v>
      </c>
      <c r="D9" s="47" t="s">
        <v>43</v>
      </c>
      <c r="E9" s="49" t="s">
        <v>44</v>
      </c>
      <c r="F9" s="15"/>
      <c r="G9" s="37">
        <v>46136</v>
      </c>
      <c r="H9" s="37">
        <v>46139</v>
      </c>
      <c r="I9" s="45">
        <f>(K9-J9)+1</f>
        <v>4</v>
      </c>
      <c r="J9" s="13">
        <f t="shared" ref="J9:J23" si="0">IF(AND(ISBLANK(G9), ISBLANK(H9)), "", 1+G9-$G$9)</f>
        <v>1</v>
      </c>
      <c r="K9" s="13">
        <f t="shared" ref="K9:K23" si="1">IF(AND(ISBLANK(G9), ISBLANK(H9)), "", J9+H9-G9)</f>
        <v>4</v>
      </c>
      <c r="L9" s="29" t="str">
        <f t="shared" ref="L9:L23" si="2">IF(AND(L$8&gt;=$J9, L$8&lt;=$K9),"1","")</f>
        <v>1</v>
      </c>
      <c r="M9" s="29" t="str">
        <f t="shared" ref="M9:AB18" si="3">IF(AND(M$8&gt;=$J9, M$8&lt;=$K9),"1","")</f>
        <v>1</v>
      </c>
      <c r="N9" s="29" t="str">
        <f t="shared" si="3"/>
        <v>1</v>
      </c>
      <c r="O9" s="29" t="str">
        <f t="shared" si="3"/>
        <v>1</v>
      </c>
      <c r="P9" s="29" t="str">
        <f t="shared" si="3"/>
        <v/>
      </c>
      <c r="Q9" s="30" t="str">
        <f t="shared" si="3"/>
        <v/>
      </c>
      <c r="R9" s="31" t="str">
        <f t="shared" si="3"/>
        <v/>
      </c>
      <c r="S9" s="29" t="str">
        <f t="shared" si="3"/>
        <v/>
      </c>
      <c r="T9" s="29" t="str">
        <f t="shared" si="3"/>
        <v/>
      </c>
      <c r="U9" s="29" t="str">
        <f t="shared" si="3"/>
        <v/>
      </c>
      <c r="V9" s="29" t="str">
        <f t="shared" si="3"/>
        <v/>
      </c>
      <c r="W9" s="29" t="str">
        <f t="shared" si="3"/>
        <v/>
      </c>
      <c r="X9" s="30" t="str">
        <f t="shared" si="3"/>
        <v/>
      </c>
      <c r="Y9" s="31" t="str">
        <f t="shared" si="3"/>
        <v/>
      </c>
      <c r="Z9" s="29" t="str">
        <f t="shared" si="3"/>
        <v/>
      </c>
      <c r="AA9" s="29" t="str">
        <f t="shared" si="3"/>
        <v/>
      </c>
      <c r="AB9" s="29" t="str">
        <f t="shared" si="3"/>
        <v/>
      </c>
      <c r="AC9" s="29" t="str">
        <f t="shared" ref="AC9:AR18" si="4">IF(AND(AC$8&gt;=$J9, AC$8&lt;=$K9),"1","")</f>
        <v/>
      </c>
      <c r="AD9" s="29" t="str">
        <f t="shared" si="4"/>
        <v/>
      </c>
      <c r="AE9" s="30" t="str">
        <f t="shared" si="4"/>
        <v/>
      </c>
      <c r="AF9" s="31" t="str">
        <f t="shared" si="4"/>
        <v/>
      </c>
      <c r="AG9" s="29" t="str">
        <f t="shared" si="4"/>
        <v/>
      </c>
      <c r="AH9" s="29" t="str">
        <f t="shared" si="4"/>
        <v/>
      </c>
      <c r="AI9" s="29" t="str">
        <f t="shared" si="4"/>
        <v/>
      </c>
      <c r="AJ9" s="29" t="str">
        <f t="shared" si="4"/>
        <v/>
      </c>
      <c r="AK9" s="29" t="str">
        <f t="shared" si="4"/>
        <v/>
      </c>
      <c r="AL9" s="30" t="str">
        <f t="shared" si="4"/>
        <v/>
      </c>
      <c r="AM9" s="31" t="str">
        <f t="shared" si="4"/>
        <v/>
      </c>
      <c r="AN9" s="29" t="str">
        <f t="shared" si="4"/>
        <v/>
      </c>
      <c r="AO9" s="29" t="str">
        <f t="shared" si="4"/>
        <v/>
      </c>
      <c r="AP9" s="29" t="str">
        <f t="shared" si="4"/>
        <v/>
      </c>
      <c r="AQ9" s="29" t="str">
        <f t="shared" si="4"/>
        <v/>
      </c>
      <c r="AR9" s="29" t="str">
        <f t="shared" si="4"/>
        <v/>
      </c>
      <c r="AS9" s="30" t="str">
        <f t="shared" ref="AS9:AT23" si="5">IF(AND(AS$8&gt;=$J9, AS$8&lt;=$K9),"1","")</f>
        <v/>
      </c>
      <c r="AT9" s="32" t="str">
        <f t="shared" si="5"/>
        <v/>
      </c>
    </row>
    <row r="10" spans="3:46" x14ac:dyDescent="0.35">
      <c r="C10" s="12">
        <v>2</v>
      </c>
      <c r="D10" s="46" t="s">
        <v>37</v>
      </c>
      <c r="E10" s="49" t="s">
        <v>48</v>
      </c>
      <c r="F10" s="49">
        <v>23010116</v>
      </c>
      <c r="G10" s="37">
        <v>46139</v>
      </c>
      <c r="H10" s="37">
        <v>46140</v>
      </c>
      <c r="I10" s="45">
        <f t="shared" ref="I10:I16" si="6">(K10-J10)+1</f>
        <v>2</v>
      </c>
      <c r="J10" s="13">
        <f t="shared" si="0"/>
        <v>4</v>
      </c>
      <c r="K10" s="13">
        <f t="shared" si="1"/>
        <v>5</v>
      </c>
      <c r="L10" s="33" t="str">
        <f t="shared" si="2"/>
        <v/>
      </c>
      <c r="M10" s="33" t="str">
        <f t="shared" si="3"/>
        <v/>
      </c>
      <c r="N10" s="33" t="str">
        <f t="shared" si="3"/>
        <v/>
      </c>
      <c r="O10" s="33" t="str">
        <f t="shared" si="3"/>
        <v>1</v>
      </c>
      <c r="P10" s="33" t="str">
        <f t="shared" si="3"/>
        <v>1</v>
      </c>
      <c r="Q10" s="34" t="str">
        <f t="shared" si="3"/>
        <v/>
      </c>
      <c r="R10" s="35" t="str">
        <f t="shared" si="3"/>
        <v/>
      </c>
      <c r="S10" s="33" t="str">
        <f t="shared" si="3"/>
        <v/>
      </c>
      <c r="T10" s="33" t="str">
        <f t="shared" si="3"/>
        <v/>
      </c>
      <c r="U10" s="33" t="str">
        <f t="shared" si="3"/>
        <v/>
      </c>
      <c r="V10" s="33" t="str">
        <f t="shared" si="3"/>
        <v/>
      </c>
      <c r="W10" s="33" t="str">
        <f t="shared" si="3"/>
        <v/>
      </c>
      <c r="X10" s="34" t="str">
        <f t="shared" si="3"/>
        <v/>
      </c>
      <c r="Y10" s="35" t="str">
        <f t="shared" si="3"/>
        <v/>
      </c>
      <c r="Z10" s="33" t="str">
        <f t="shared" si="3"/>
        <v/>
      </c>
      <c r="AA10" s="33" t="str">
        <f t="shared" si="3"/>
        <v/>
      </c>
      <c r="AB10" s="33" t="str">
        <f t="shared" si="3"/>
        <v/>
      </c>
      <c r="AC10" s="33" t="str">
        <f t="shared" si="4"/>
        <v/>
      </c>
      <c r="AD10" s="33" t="str">
        <f t="shared" si="4"/>
        <v/>
      </c>
      <c r="AE10" s="34" t="str">
        <f t="shared" si="4"/>
        <v/>
      </c>
      <c r="AF10" s="35" t="str">
        <f t="shared" si="4"/>
        <v/>
      </c>
      <c r="AG10" s="33" t="str">
        <f t="shared" si="4"/>
        <v/>
      </c>
      <c r="AH10" s="33" t="str">
        <f t="shared" si="4"/>
        <v/>
      </c>
      <c r="AI10" s="33" t="str">
        <f t="shared" si="4"/>
        <v/>
      </c>
      <c r="AJ10" s="33" t="str">
        <f t="shared" si="4"/>
        <v/>
      </c>
      <c r="AK10" s="33" t="str">
        <f t="shared" si="4"/>
        <v/>
      </c>
      <c r="AL10" s="34" t="str">
        <f t="shared" si="4"/>
        <v/>
      </c>
      <c r="AM10" s="35" t="str">
        <f t="shared" si="4"/>
        <v/>
      </c>
      <c r="AN10" s="33" t="str">
        <f t="shared" si="4"/>
        <v/>
      </c>
      <c r="AO10" s="33" t="str">
        <f t="shared" si="4"/>
        <v/>
      </c>
      <c r="AP10" s="33" t="str">
        <f t="shared" si="4"/>
        <v/>
      </c>
      <c r="AQ10" s="33" t="str">
        <f t="shared" si="4"/>
        <v/>
      </c>
      <c r="AR10" s="33" t="str">
        <f t="shared" si="4"/>
        <v/>
      </c>
      <c r="AS10" s="34" t="str">
        <f t="shared" si="5"/>
        <v/>
      </c>
      <c r="AT10" s="36" t="str">
        <f t="shared" si="5"/>
        <v/>
      </c>
    </row>
    <row r="11" spans="3:46" x14ac:dyDescent="0.35">
      <c r="C11" s="14">
        <v>3</v>
      </c>
      <c r="D11" s="46" t="s">
        <v>38</v>
      </c>
      <c r="E11" s="61" t="s">
        <v>49</v>
      </c>
      <c r="F11" s="49">
        <v>23011314</v>
      </c>
      <c r="G11" s="37">
        <v>46140</v>
      </c>
      <c r="H11" s="37">
        <v>46143</v>
      </c>
      <c r="I11" s="45">
        <f t="shared" si="6"/>
        <v>4</v>
      </c>
      <c r="J11" s="13">
        <f t="shared" si="0"/>
        <v>5</v>
      </c>
      <c r="K11" s="13">
        <f t="shared" si="1"/>
        <v>8</v>
      </c>
      <c r="L11" s="33" t="str">
        <f t="shared" si="2"/>
        <v/>
      </c>
      <c r="M11" s="33" t="str">
        <f t="shared" si="3"/>
        <v/>
      </c>
      <c r="N11" s="33" t="str">
        <f t="shared" si="3"/>
        <v/>
      </c>
      <c r="O11" s="33" t="str">
        <f t="shared" si="3"/>
        <v/>
      </c>
      <c r="P11" s="33" t="str">
        <f t="shared" si="3"/>
        <v>1</v>
      </c>
      <c r="Q11" s="34" t="str">
        <f t="shared" si="3"/>
        <v>1</v>
      </c>
      <c r="R11" s="35" t="str">
        <f t="shared" si="3"/>
        <v>1</v>
      </c>
      <c r="S11" s="33" t="str">
        <f t="shared" si="3"/>
        <v>1</v>
      </c>
      <c r="T11" s="33" t="str">
        <f t="shared" si="3"/>
        <v/>
      </c>
      <c r="U11" s="33" t="str">
        <f t="shared" si="3"/>
        <v/>
      </c>
      <c r="V11" s="33" t="str">
        <f t="shared" si="3"/>
        <v/>
      </c>
      <c r="W11" s="33" t="str">
        <f t="shared" si="3"/>
        <v/>
      </c>
      <c r="X11" s="34" t="str">
        <f t="shared" si="3"/>
        <v/>
      </c>
      <c r="Y11" s="35" t="str">
        <f t="shared" si="3"/>
        <v/>
      </c>
      <c r="Z11" s="33" t="str">
        <f t="shared" si="3"/>
        <v/>
      </c>
      <c r="AA11" s="33" t="str">
        <f t="shared" si="3"/>
        <v/>
      </c>
      <c r="AB11" s="33" t="str">
        <f t="shared" si="3"/>
        <v/>
      </c>
      <c r="AC11" s="33" t="str">
        <f t="shared" si="4"/>
        <v/>
      </c>
      <c r="AD11" s="33" t="str">
        <f t="shared" si="4"/>
        <v/>
      </c>
      <c r="AE11" s="34" t="str">
        <f t="shared" si="4"/>
        <v/>
      </c>
      <c r="AF11" s="35" t="str">
        <f t="shared" si="4"/>
        <v/>
      </c>
      <c r="AG11" s="33" t="str">
        <f t="shared" si="4"/>
        <v/>
      </c>
      <c r="AH11" s="33" t="str">
        <f t="shared" si="4"/>
        <v/>
      </c>
      <c r="AI11" s="33" t="str">
        <f t="shared" si="4"/>
        <v/>
      </c>
      <c r="AJ11" s="33" t="str">
        <f t="shared" si="4"/>
        <v/>
      </c>
      <c r="AK11" s="33" t="str">
        <f t="shared" si="4"/>
        <v/>
      </c>
      <c r="AL11" s="34" t="str">
        <f t="shared" si="4"/>
        <v/>
      </c>
      <c r="AM11" s="35" t="str">
        <f t="shared" si="4"/>
        <v/>
      </c>
      <c r="AN11" s="33" t="str">
        <f t="shared" si="4"/>
        <v/>
      </c>
      <c r="AO11" s="33" t="str">
        <f t="shared" si="4"/>
        <v/>
      </c>
      <c r="AP11" s="33" t="str">
        <f t="shared" si="4"/>
        <v/>
      </c>
      <c r="AQ11" s="33" t="str">
        <f t="shared" si="4"/>
        <v/>
      </c>
      <c r="AR11" s="33" t="str">
        <f t="shared" si="4"/>
        <v/>
      </c>
      <c r="AS11" s="34" t="str">
        <f t="shared" si="5"/>
        <v/>
      </c>
      <c r="AT11" s="36" t="str">
        <f t="shared" si="5"/>
        <v/>
      </c>
    </row>
    <row r="12" spans="3:46" x14ac:dyDescent="0.35">
      <c r="C12" s="14">
        <v>4</v>
      </c>
      <c r="D12" s="50" t="s">
        <v>39</v>
      </c>
      <c r="E12" s="48" t="s">
        <v>50</v>
      </c>
      <c r="F12" s="53">
        <v>23012185</v>
      </c>
      <c r="G12" s="37">
        <v>46143</v>
      </c>
      <c r="H12" s="37">
        <v>46146</v>
      </c>
      <c r="I12" s="45">
        <f t="shared" si="6"/>
        <v>4</v>
      </c>
      <c r="J12" s="13">
        <f t="shared" si="0"/>
        <v>8</v>
      </c>
      <c r="K12" s="13">
        <f t="shared" si="1"/>
        <v>11</v>
      </c>
      <c r="L12" s="33" t="str">
        <f t="shared" si="2"/>
        <v/>
      </c>
      <c r="M12" s="33" t="str">
        <f t="shared" si="3"/>
        <v/>
      </c>
      <c r="N12" s="33" t="str">
        <f t="shared" si="3"/>
        <v/>
      </c>
      <c r="O12" s="33" t="str">
        <f t="shared" si="3"/>
        <v/>
      </c>
      <c r="P12" s="33" t="str">
        <f t="shared" si="3"/>
        <v/>
      </c>
      <c r="Q12" s="34" t="str">
        <f t="shared" si="3"/>
        <v/>
      </c>
      <c r="R12" s="35" t="str">
        <f t="shared" si="3"/>
        <v/>
      </c>
      <c r="S12" s="33" t="str">
        <f t="shared" si="3"/>
        <v>1</v>
      </c>
      <c r="T12" s="33" t="str">
        <f t="shared" si="3"/>
        <v>1</v>
      </c>
      <c r="U12" s="33" t="str">
        <f t="shared" si="3"/>
        <v>1</v>
      </c>
      <c r="V12" s="33" t="str">
        <f t="shared" si="3"/>
        <v>1</v>
      </c>
      <c r="W12" s="33" t="str">
        <f t="shared" si="3"/>
        <v/>
      </c>
      <c r="X12" s="34" t="str">
        <f t="shared" si="3"/>
        <v/>
      </c>
      <c r="Y12" s="35" t="str">
        <f t="shared" si="3"/>
        <v/>
      </c>
      <c r="Z12" s="33" t="str">
        <f t="shared" si="3"/>
        <v/>
      </c>
      <c r="AA12" s="33" t="str">
        <f t="shared" si="3"/>
        <v/>
      </c>
      <c r="AB12" s="33" t="str">
        <f t="shared" si="3"/>
        <v/>
      </c>
      <c r="AC12" s="33" t="str">
        <f t="shared" si="4"/>
        <v/>
      </c>
      <c r="AD12" s="33" t="str">
        <f t="shared" si="4"/>
        <v/>
      </c>
      <c r="AE12" s="34" t="str">
        <f t="shared" si="4"/>
        <v/>
      </c>
      <c r="AF12" s="35" t="str">
        <f t="shared" si="4"/>
        <v/>
      </c>
      <c r="AG12" s="33" t="str">
        <f t="shared" si="4"/>
        <v/>
      </c>
      <c r="AH12" s="33" t="str">
        <f t="shared" si="4"/>
        <v/>
      </c>
      <c r="AI12" s="33" t="str">
        <f t="shared" si="4"/>
        <v/>
      </c>
      <c r="AJ12" s="33" t="str">
        <f t="shared" si="4"/>
        <v/>
      </c>
      <c r="AK12" s="33" t="str">
        <f t="shared" si="4"/>
        <v/>
      </c>
      <c r="AL12" s="34" t="str">
        <f t="shared" si="4"/>
        <v/>
      </c>
      <c r="AM12" s="35" t="str">
        <f t="shared" si="4"/>
        <v/>
      </c>
      <c r="AN12" s="33" t="str">
        <f t="shared" si="4"/>
        <v/>
      </c>
      <c r="AO12" s="33" t="str">
        <f t="shared" si="4"/>
        <v/>
      </c>
      <c r="AP12" s="33" t="str">
        <f t="shared" si="4"/>
        <v/>
      </c>
      <c r="AQ12" s="33" t="str">
        <f t="shared" si="4"/>
        <v/>
      </c>
      <c r="AR12" s="33" t="str">
        <f t="shared" si="4"/>
        <v/>
      </c>
      <c r="AS12" s="34" t="str">
        <f t="shared" si="5"/>
        <v/>
      </c>
      <c r="AT12" s="36" t="str">
        <f t="shared" si="5"/>
        <v/>
      </c>
    </row>
    <row r="13" spans="3:46" x14ac:dyDescent="0.35">
      <c r="C13" s="14">
        <v>5</v>
      </c>
      <c r="D13" s="51" t="s">
        <v>40</v>
      </c>
      <c r="E13" s="61" t="s">
        <v>46</v>
      </c>
      <c r="F13" s="49">
        <v>23011355</v>
      </c>
      <c r="G13" s="37">
        <v>46146</v>
      </c>
      <c r="H13" s="37">
        <v>46147</v>
      </c>
      <c r="I13" s="45">
        <f t="shared" si="6"/>
        <v>2</v>
      </c>
      <c r="J13" s="13">
        <f t="shared" si="0"/>
        <v>11</v>
      </c>
      <c r="K13" s="13">
        <f t="shared" si="1"/>
        <v>12</v>
      </c>
      <c r="L13" s="33" t="str">
        <f t="shared" si="2"/>
        <v/>
      </c>
      <c r="M13" s="33" t="str">
        <f t="shared" si="3"/>
        <v/>
      </c>
      <c r="N13" s="33" t="str">
        <f t="shared" si="3"/>
        <v/>
      </c>
      <c r="O13" s="33" t="str">
        <f t="shared" si="3"/>
        <v/>
      </c>
      <c r="P13" s="33" t="str">
        <f t="shared" si="3"/>
        <v/>
      </c>
      <c r="Q13" s="34" t="str">
        <f t="shared" si="3"/>
        <v/>
      </c>
      <c r="R13" s="35" t="str">
        <f t="shared" si="3"/>
        <v/>
      </c>
      <c r="S13" s="33" t="str">
        <f t="shared" si="3"/>
        <v/>
      </c>
      <c r="T13" s="33" t="str">
        <f t="shared" si="3"/>
        <v/>
      </c>
      <c r="U13" s="33" t="str">
        <f t="shared" si="3"/>
        <v/>
      </c>
      <c r="V13" s="33" t="str">
        <f t="shared" si="3"/>
        <v>1</v>
      </c>
      <c r="W13" s="33" t="str">
        <f t="shared" si="3"/>
        <v>1</v>
      </c>
      <c r="X13" s="34" t="str">
        <f t="shared" si="3"/>
        <v/>
      </c>
      <c r="Y13" s="35" t="str">
        <f t="shared" si="3"/>
        <v/>
      </c>
      <c r="Z13" s="33" t="str">
        <f t="shared" si="3"/>
        <v/>
      </c>
      <c r="AA13" s="33" t="str">
        <f t="shared" si="3"/>
        <v/>
      </c>
      <c r="AB13" s="33" t="str">
        <f t="shared" si="3"/>
        <v/>
      </c>
      <c r="AC13" s="33" t="str">
        <f t="shared" si="4"/>
        <v/>
      </c>
      <c r="AD13" s="33" t="str">
        <f t="shared" si="4"/>
        <v/>
      </c>
      <c r="AE13" s="34" t="str">
        <f t="shared" si="4"/>
        <v/>
      </c>
      <c r="AF13" s="35" t="str">
        <f t="shared" si="4"/>
        <v/>
      </c>
      <c r="AG13" s="33" t="str">
        <f t="shared" si="4"/>
        <v/>
      </c>
      <c r="AH13" s="33" t="str">
        <f t="shared" si="4"/>
        <v/>
      </c>
      <c r="AI13" s="33" t="str">
        <f t="shared" si="4"/>
        <v/>
      </c>
      <c r="AJ13" s="33" t="str">
        <f t="shared" si="4"/>
        <v/>
      </c>
      <c r="AK13" s="33" t="str">
        <f t="shared" si="4"/>
        <v/>
      </c>
      <c r="AL13" s="34" t="str">
        <f t="shared" si="4"/>
        <v/>
      </c>
      <c r="AM13" s="35" t="str">
        <f t="shared" si="4"/>
        <v/>
      </c>
      <c r="AN13" s="33" t="str">
        <f t="shared" si="4"/>
        <v/>
      </c>
      <c r="AO13" s="33" t="str">
        <f t="shared" si="4"/>
        <v/>
      </c>
      <c r="AP13" s="33" t="str">
        <f t="shared" si="4"/>
        <v/>
      </c>
      <c r="AQ13" s="33" t="str">
        <f t="shared" si="4"/>
        <v/>
      </c>
      <c r="AR13" s="33" t="str">
        <f t="shared" si="4"/>
        <v/>
      </c>
      <c r="AS13" s="34" t="str">
        <f t="shared" si="5"/>
        <v/>
      </c>
      <c r="AT13" s="36" t="str">
        <f t="shared" si="5"/>
        <v/>
      </c>
    </row>
    <row r="14" spans="3:46" x14ac:dyDescent="0.35">
      <c r="C14" s="12">
        <v>6</v>
      </c>
      <c r="D14" s="51" t="s">
        <v>42</v>
      </c>
      <c r="E14" s="49" t="s">
        <v>47</v>
      </c>
      <c r="F14" s="49">
        <v>23012042</v>
      </c>
      <c r="G14" s="37">
        <v>46147</v>
      </c>
      <c r="H14" s="37">
        <v>46148</v>
      </c>
      <c r="I14" s="45">
        <f t="shared" si="6"/>
        <v>2</v>
      </c>
      <c r="J14" s="13">
        <f t="shared" si="0"/>
        <v>12</v>
      </c>
      <c r="K14" s="13">
        <f t="shared" si="1"/>
        <v>13</v>
      </c>
      <c r="L14" s="33" t="str">
        <f t="shared" si="2"/>
        <v/>
      </c>
      <c r="M14" s="33" t="str">
        <f t="shared" si="3"/>
        <v/>
      </c>
      <c r="N14" s="33" t="str">
        <f t="shared" si="3"/>
        <v/>
      </c>
      <c r="O14" s="33" t="str">
        <f t="shared" si="3"/>
        <v/>
      </c>
      <c r="P14" s="33" t="str">
        <f t="shared" si="3"/>
        <v/>
      </c>
      <c r="Q14" s="34" t="str">
        <f t="shared" si="3"/>
        <v/>
      </c>
      <c r="R14" s="35" t="str">
        <f t="shared" si="3"/>
        <v/>
      </c>
      <c r="S14" s="33" t="str">
        <f t="shared" si="3"/>
        <v/>
      </c>
      <c r="T14" s="33" t="str">
        <f t="shared" si="3"/>
        <v/>
      </c>
      <c r="U14" s="33" t="str">
        <f t="shared" si="3"/>
        <v/>
      </c>
      <c r="V14" s="33" t="str">
        <f t="shared" si="3"/>
        <v/>
      </c>
      <c r="W14" s="33" t="str">
        <f t="shared" si="3"/>
        <v>1</v>
      </c>
      <c r="X14" s="34" t="str">
        <f t="shared" si="3"/>
        <v>1</v>
      </c>
      <c r="Y14" s="35" t="str">
        <f t="shared" si="3"/>
        <v/>
      </c>
      <c r="Z14" s="33" t="str">
        <f t="shared" si="3"/>
        <v/>
      </c>
      <c r="AA14" s="33" t="str">
        <f t="shared" si="3"/>
        <v/>
      </c>
      <c r="AB14" s="33" t="str">
        <f t="shared" si="3"/>
        <v/>
      </c>
      <c r="AC14" s="33" t="str">
        <f t="shared" si="4"/>
        <v/>
      </c>
      <c r="AD14" s="33" t="str">
        <f t="shared" si="4"/>
        <v/>
      </c>
      <c r="AE14" s="34" t="str">
        <f t="shared" si="4"/>
        <v/>
      </c>
      <c r="AF14" s="35" t="str">
        <f t="shared" si="4"/>
        <v/>
      </c>
      <c r="AG14" s="33" t="str">
        <f t="shared" si="4"/>
        <v/>
      </c>
      <c r="AH14" s="33" t="str">
        <f t="shared" si="4"/>
        <v/>
      </c>
      <c r="AI14" s="33" t="str">
        <f t="shared" si="4"/>
        <v/>
      </c>
      <c r="AJ14" s="33" t="str">
        <f t="shared" si="4"/>
        <v/>
      </c>
      <c r="AK14" s="33" t="str">
        <f t="shared" si="4"/>
        <v/>
      </c>
      <c r="AL14" s="34" t="str">
        <f t="shared" si="4"/>
        <v/>
      </c>
      <c r="AM14" s="35" t="str">
        <f t="shared" si="4"/>
        <v/>
      </c>
      <c r="AN14" s="33" t="str">
        <f t="shared" si="4"/>
        <v/>
      </c>
      <c r="AO14" s="33" t="str">
        <f t="shared" si="4"/>
        <v/>
      </c>
      <c r="AP14" s="33" t="str">
        <f t="shared" si="4"/>
        <v/>
      </c>
      <c r="AQ14" s="33" t="str">
        <f t="shared" si="4"/>
        <v/>
      </c>
      <c r="AR14" s="33" t="str">
        <f t="shared" si="4"/>
        <v/>
      </c>
      <c r="AS14" s="34" t="str">
        <f t="shared" si="5"/>
        <v/>
      </c>
      <c r="AT14" s="36" t="str">
        <f t="shared" si="5"/>
        <v/>
      </c>
    </row>
    <row r="15" spans="3:46" x14ac:dyDescent="0.35">
      <c r="C15" s="14">
        <v>7</v>
      </c>
      <c r="D15" s="51" t="s">
        <v>41</v>
      </c>
      <c r="E15" s="61" t="s">
        <v>45</v>
      </c>
      <c r="F15" s="49">
        <v>23011390</v>
      </c>
      <c r="G15" s="37">
        <v>46147</v>
      </c>
      <c r="H15" s="37">
        <v>46149</v>
      </c>
      <c r="I15" s="45">
        <f t="shared" si="6"/>
        <v>3</v>
      </c>
      <c r="J15" s="13">
        <f>IF(AND(ISBLANK(G15), ISBLANK(H15)), "", 1+G15-$G$9)</f>
        <v>12</v>
      </c>
      <c r="K15" s="13">
        <f>IF(AND(ISBLANK(G15), ISBLANK(H15)), "", J15+H15-G15)</f>
        <v>14</v>
      </c>
      <c r="L15" s="33" t="str">
        <f t="shared" si="2"/>
        <v/>
      </c>
      <c r="M15" s="33" t="str">
        <f t="shared" si="3"/>
        <v/>
      </c>
      <c r="N15" s="33" t="str">
        <f t="shared" si="3"/>
        <v/>
      </c>
      <c r="O15" s="33" t="str">
        <f t="shared" si="3"/>
        <v/>
      </c>
      <c r="P15" s="33" t="str">
        <f t="shared" si="3"/>
        <v/>
      </c>
      <c r="Q15" s="34" t="str">
        <f t="shared" si="3"/>
        <v/>
      </c>
      <c r="R15" s="35" t="str">
        <f t="shared" si="3"/>
        <v/>
      </c>
      <c r="S15" s="33" t="str">
        <f t="shared" si="3"/>
        <v/>
      </c>
      <c r="T15" s="33" t="str">
        <f t="shared" si="3"/>
        <v/>
      </c>
      <c r="U15" s="33" t="str">
        <f t="shared" si="3"/>
        <v/>
      </c>
      <c r="V15" s="33" t="str">
        <f t="shared" si="3"/>
        <v/>
      </c>
      <c r="W15" s="33" t="str">
        <f t="shared" si="3"/>
        <v>1</v>
      </c>
      <c r="X15" s="34" t="str">
        <f t="shared" si="3"/>
        <v>1</v>
      </c>
      <c r="Y15" s="35" t="str">
        <f t="shared" si="3"/>
        <v>1</v>
      </c>
      <c r="Z15" s="33" t="str">
        <f t="shared" si="3"/>
        <v/>
      </c>
      <c r="AA15" s="33" t="str">
        <f t="shared" si="3"/>
        <v/>
      </c>
      <c r="AB15" s="33" t="str">
        <f t="shared" si="3"/>
        <v/>
      </c>
      <c r="AC15" s="33" t="str">
        <f t="shared" si="4"/>
        <v/>
      </c>
      <c r="AD15" s="33" t="str">
        <f t="shared" si="4"/>
        <v/>
      </c>
      <c r="AE15" s="34" t="str">
        <f t="shared" si="4"/>
        <v/>
      </c>
      <c r="AF15" s="35" t="str">
        <f t="shared" si="4"/>
        <v/>
      </c>
      <c r="AG15" s="33" t="str">
        <f t="shared" si="4"/>
        <v/>
      </c>
      <c r="AH15" s="33" t="str">
        <f t="shared" si="4"/>
        <v/>
      </c>
      <c r="AI15" s="33" t="str">
        <f t="shared" si="4"/>
        <v/>
      </c>
      <c r="AJ15" s="33" t="str">
        <f t="shared" si="4"/>
        <v/>
      </c>
      <c r="AK15" s="33" t="str">
        <f t="shared" si="4"/>
        <v/>
      </c>
      <c r="AL15" s="34" t="str">
        <f t="shared" si="4"/>
        <v/>
      </c>
      <c r="AM15" s="35" t="str">
        <f t="shared" si="4"/>
        <v/>
      </c>
      <c r="AN15" s="33" t="str">
        <f t="shared" si="4"/>
        <v/>
      </c>
      <c r="AO15" s="33" t="str">
        <f t="shared" si="4"/>
        <v/>
      </c>
      <c r="AP15" s="33" t="str">
        <f t="shared" si="4"/>
        <v/>
      </c>
      <c r="AQ15" s="33" t="str">
        <f t="shared" si="4"/>
        <v/>
      </c>
      <c r="AR15" s="33" t="str">
        <f t="shared" si="4"/>
        <v/>
      </c>
      <c r="AS15" s="34" t="str">
        <f t="shared" si="5"/>
        <v/>
      </c>
      <c r="AT15" s="36" t="str">
        <f t="shared" si="5"/>
        <v/>
      </c>
    </row>
    <row r="16" spans="3:46" x14ac:dyDescent="0.35">
      <c r="C16" s="12">
        <v>8</v>
      </c>
      <c r="D16" s="48" t="s">
        <v>53</v>
      </c>
      <c r="E16" s="49" t="s">
        <v>51</v>
      </c>
      <c r="F16" s="52">
        <f>23011370</f>
        <v>23011370</v>
      </c>
      <c r="G16" s="37">
        <v>46151</v>
      </c>
      <c r="H16" s="37">
        <v>46152</v>
      </c>
      <c r="I16" s="45">
        <f t="shared" si="6"/>
        <v>2</v>
      </c>
      <c r="J16" s="13">
        <f>IF(AND(ISBLANK(G16), ISBLANK(H16)), "", 1+G16-$G$9)</f>
        <v>16</v>
      </c>
      <c r="K16" s="13">
        <f>IF(AND(ISBLANK(G16), ISBLANK(H16)), "", J16+H16-G16)</f>
        <v>17</v>
      </c>
      <c r="L16" s="33" t="str">
        <f t="shared" si="2"/>
        <v/>
      </c>
      <c r="M16" s="33" t="str">
        <f t="shared" si="3"/>
        <v/>
      </c>
      <c r="N16" s="33" t="str">
        <f t="shared" si="3"/>
        <v/>
      </c>
      <c r="O16" s="33" t="str">
        <f t="shared" si="3"/>
        <v/>
      </c>
      <c r="P16" s="33" t="str">
        <f t="shared" si="3"/>
        <v/>
      </c>
      <c r="Q16" s="34" t="str">
        <f t="shared" si="3"/>
        <v/>
      </c>
      <c r="R16" s="35" t="str">
        <f t="shared" si="3"/>
        <v/>
      </c>
      <c r="S16" s="33" t="str">
        <f t="shared" si="3"/>
        <v/>
      </c>
      <c r="T16" s="33" t="str">
        <f t="shared" si="3"/>
        <v/>
      </c>
      <c r="U16" s="33" t="str">
        <f t="shared" si="3"/>
        <v/>
      </c>
      <c r="V16" s="33" t="str">
        <f t="shared" si="3"/>
        <v/>
      </c>
      <c r="W16" s="33" t="str">
        <f t="shared" si="3"/>
        <v/>
      </c>
      <c r="X16" s="34" t="str">
        <f t="shared" si="3"/>
        <v/>
      </c>
      <c r="Y16" s="35" t="str">
        <f t="shared" si="3"/>
        <v/>
      </c>
      <c r="Z16" s="33" t="str">
        <f t="shared" si="3"/>
        <v/>
      </c>
      <c r="AA16" s="33" t="str">
        <f t="shared" si="3"/>
        <v>1</v>
      </c>
      <c r="AB16" s="33" t="str">
        <f t="shared" si="3"/>
        <v>1</v>
      </c>
      <c r="AC16" s="33" t="str">
        <f t="shared" si="4"/>
        <v/>
      </c>
      <c r="AD16" s="33" t="str">
        <f t="shared" si="4"/>
        <v/>
      </c>
      <c r="AE16" s="34" t="str">
        <f t="shared" si="4"/>
        <v/>
      </c>
      <c r="AF16" s="35" t="str">
        <f t="shared" si="4"/>
        <v/>
      </c>
      <c r="AG16" s="33" t="str">
        <f t="shared" si="4"/>
        <v/>
      </c>
      <c r="AH16" s="33" t="str">
        <f t="shared" si="4"/>
        <v/>
      </c>
      <c r="AI16" s="33" t="str">
        <f t="shared" si="4"/>
        <v/>
      </c>
      <c r="AJ16" s="33" t="str">
        <f t="shared" si="4"/>
        <v/>
      </c>
      <c r="AK16" s="33" t="str">
        <f t="shared" si="4"/>
        <v/>
      </c>
      <c r="AL16" s="34" t="str">
        <f t="shared" si="4"/>
        <v/>
      </c>
      <c r="AM16" s="35" t="str">
        <f t="shared" si="4"/>
        <v/>
      </c>
      <c r="AN16" s="33" t="str">
        <f t="shared" si="4"/>
        <v/>
      </c>
      <c r="AO16" s="33" t="str">
        <f t="shared" si="4"/>
        <v/>
      </c>
      <c r="AP16" s="33" t="str">
        <f t="shared" si="4"/>
        <v/>
      </c>
      <c r="AQ16" s="33" t="str">
        <f t="shared" si="4"/>
        <v/>
      </c>
      <c r="AR16" s="33" t="str">
        <f t="shared" si="4"/>
        <v/>
      </c>
      <c r="AS16" s="34" t="str">
        <f t="shared" si="5"/>
        <v/>
      </c>
      <c r="AT16" s="36" t="str">
        <f t="shared" si="5"/>
        <v/>
      </c>
    </row>
    <row r="17" spans="3:46" ht="13.95" customHeight="1" x14ac:dyDescent="0.35">
      <c r="C17" s="14"/>
      <c r="D17" s="16"/>
      <c r="E17" s="16"/>
      <c r="F17" s="16"/>
      <c r="G17" s="37"/>
      <c r="H17" s="37"/>
      <c r="I17" s="38"/>
      <c r="J17" s="13" t="str">
        <f t="shared" si="0"/>
        <v/>
      </c>
      <c r="K17" s="13" t="str">
        <f t="shared" si="1"/>
        <v/>
      </c>
      <c r="L17" s="33" t="str">
        <f t="shared" si="2"/>
        <v/>
      </c>
      <c r="M17" s="33" t="str">
        <f t="shared" si="3"/>
        <v/>
      </c>
      <c r="N17" s="33" t="str">
        <f t="shared" si="3"/>
        <v/>
      </c>
      <c r="O17" s="33" t="str">
        <f t="shared" si="3"/>
        <v/>
      </c>
      <c r="P17" s="33" t="str">
        <f t="shared" si="3"/>
        <v/>
      </c>
      <c r="Q17" s="34" t="str">
        <f t="shared" si="3"/>
        <v/>
      </c>
      <c r="R17" s="35" t="str">
        <f t="shared" si="3"/>
        <v/>
      </c>
      <c r="S17" s="33" t="str">
        <f t="shared" si="3"/>
        <v/>
      </c>
      <c r="T17" s="33" t="str">
        <f t="shared" si="3"/>
        <v/>
      </c>
      <c r="U17" s="33" t="str">
        <f t="shared" si="3"/>
        <v/>
      </c>
      <c r="V17" s="33" t="str">
        <f t="shared" si="3"/>
        <v/>
      </c>
      <c r="W17" s="33" t="str">
        <f t="shared" si="3"/>
        <v/>
      </c>
      <c r="X17" s="34" t="str">
        <f t="shared" si="3"/>
        <v/>
      </c>
      <c r="Y17" s="35" t="str">
        <f t="shared" si="3"/>
        <v/>
      </c>
      <c r="Z17" s="33" t="str">
        <f t="shared" si="3"/>
        <v/>
      </c>
      <c r="AA17" s="33" t="str">
        <f t="shared" si="3"/>
        <v/>
      </c>
      <c r="AB17" s="33" t="str">
        <f t="shared" si="3"/>
        <v/>
      </c>
      <c r="AC17" s="33" t="str">
        <f t="shared" si="4"/>
        <v/>
      </c>
      <c r="AD17" s="33" t="str">
        <f t="shared" si="4"/>
        <v/>
      </c>
      <c r="AE17" s="34" t="str">
        <f t="shared" si="4"/>
        <v/>
      </c>
      <c r="AF17" s="35" t="str">
        <f t="shared" si="4"/>
        <v/>
      </c>
      <c r="AG17" s="33" t="str">
        <f t="shared" si="4"/>
        <v/>
      </c>
      <c r="AH17" s="33" t="str">
        <f t="shared" si="4"/>
        <v/>
      </c>
      <c r="AI17" s="33" t="str">
        <f t="shared" si="4"/>
        <v/>
      </c>
      <c r="AJ17" s="33" t="str">
        <f t="shared" si="4"/>
        <v/>
      </c>
      <c r="AK17" s="33" t="str">
        <f t="shared" si="4"/>
        <v/>
      </c>
      <c r="AL17" s="34" t="str">
        <f t="shared" si="4"/>
        <v/>
      </c>
      <c r="AM17" s="35" t="str">
        <f t="shared" si="4"/>
        <v/>
      </c>
      <c r="AN17" s="33" t="str">
        <f t="shared" si="4"/>
        <v/>
      </c>
      <c r="AO17" s="33" t="str">
        <f t="shared" si="4"/>
        <v/>
      </c>
      <c r="AP17" s="33" t="str">
        <f t="shared" si="4"/>
        <v/>
      </c>
      <c r="AQ17" s="33" t="str">
        <f t="shared" si="4"/>
        <v/>
      </c>
      <c r="AR17" s="33" t="str">
        <f t="shared" si="4"/>
        <v/>
      </c>
      <c r="AS17" s="34" t="str">
        <f t="shared" si="5"/>
        <v/>
      </c>
      <c r="AT17" s="36" t="str">
        <f t="shared" si="5"/>
        <v/>
      </c>
    </row>
    <row r="18" spans="3:46" ht="13.95" customHeight="1" x14ac:dyDescent="0.35">
      <c r="C18" s="14"/>
      <c r="D18" s="16"/>
      <c r="E18" s="16"/>
      <c r="F18" s="16"/>
      <c r="G18" s="37"/>
      <c r="H18" s="37"/>
      <c r="I18" s="38"/>
      <c r="J18" s="13" t="str">
        <f t="shared" si="0"/>
        <v/>
      </c>
      <c r="K18" s="13" t="str">
        <f t="shared" si="1"/>
        <v/>
      </c>
      <c r="L18" s="33" t="str">
        <f t="shared" si="2"/>
        <v/>
      </c>
      <c r="M18" s="33" t="str">
        <f t="shared" si="3"/>
        <v/>
      </c>
      <c r="N18" s="33" t="str">
        <f t="shared" si="3"/>
        <v/>
      </c>
      <c r="O18" s="33" t="str">
        <f t="shared" si="3"/>
        <v/>
      </c>
      <c r="P18" s="33" t="str">
        <f t="shared" si="3"/>
        <v/>
      </c>
      <c r="Q18" s="34" t="str">
        <f t="shared" si="3"/>
        <v/>
      </c>
      <c r="R18" s="35" t="str">
        <f t="shared" si="3"/>
        <v/>
      </c>
      <c r="S18" s="33" t="str">
        <f t="shared" si="3"/>
        <v/>
      </c>
      <c r="T18" s="33" t="str">
        <f t="shared" si="3"/>
        <v/>
      </c>
      <c r="U18" s="33" t="str">
        <f t="shared" si="3"/>
        <v/>
      </c>
      <c r="V18" s="33" t="str">
        <f t="shared" si="3"/>
        <v/>
      </c>
      <c r="W18" s="33" t="str">
        <f t="shared" si="3"/>
        <v/>
      </c>
      <c r="X18" s="34" t="str">
        <f t="shared" si="3"/>
        <v/>
      </c>
      <c r="Y18" s="35" t="str">
        <f t="shared" si="3"/>
        <v/>
      </c>
      <c r="Z18" s="33" t="str">
        <f t="shared" si="3"/>
        <v/>
      </c>
      <c r="AA18" s="33" t="str">
        <f t="shared" si="3"/>
        <v/>
      </c>
      <c r="AB18" s="33" t="str">
        <f t="shared" ref="AB18:AB23" si="7">IF(AND(AB$8&gt;=$J18, AB$8&lt;=$K18),"1","")</f>
        <v/>
      </c>
      <c r="AC18" s="33" t="str">
        <f t="shared" si="4"/>
        <v/>
      </c>
      <c r="AD18" s="33" t="str">
        <f t="shared" si="4"/>
        <v/>
      </c>
      <c r="AE18" s="34" t="str">
        <f t="shared" si="4"/>
        <v/>
      </c>
      <c r="AF18" s="35" t="str">
        <f t="shared" si="4"/>
        <v/>
      </c>
      <c r="AG18" s="33" t="str">
        <f t="shared" si="4"/>
        <v/>
      </c>
      <c r="AH18" s="33" t="str">
        <f t="shared" si="4"/>
        <v/>
      </c>
      <c r="AI18" s="33" t="str">
        <f t="shared" si="4"/>
        <v/>
      </c>
      <c r="AJ18" s="33" t="str">
        <f t="shared" si="4"/>
        <v/>
      </c>
      <c r="AK18" s="33" t="str">
        <f t="shared" si="4"/>
        <v/>
      </c>
      <c r="AL18" s="34" t="str">
        <f t="shared" si="4"/>
        <v/>
      </c>
      <c r="AM18" s="35" t="str">
        <f t="shared" si="4"/>
        <v/>
      </c>
      <c r="AN18" s="33" t="str">
        <f t="shared" si="4"/>
        <v/>
      </c>
      <c r="AO18" s="33" t="str">
        <f t="shared" si="4"/>
        <v/>
      </c>
      <c r="AP18" s="33" t="str">
        <f t="shared" si="4"/>
        <v/>
      </c>
      <c r="AQ18" s="33" t="str">
        <f t="shared" si="4"/>
        <v/>
      </c>
      <c r="AR18" s="33" t="str">
        <f t="shared" ref="AR18:AR23" si="8">IF(AND(AR$8&gt;=$J18, AR$8&lt;=$K18),"1","")</f>
        <v/>
      </c>
      <c r="AS18" s="34" t="str">
        <f t="shared" si="5"/>
        <v/>
      </c>
      <c r="AT18" s="36" t="str">
        <f t="shared" si="5"/>
        <v/>
      </c>
    </row>
    <row r="19" spans="3:46" ht="13.95" customHeight="1" x14ac:dyDescent="0.35">
      <c r="C19" s="14"/>
      <c r="D19" s="16"/>
      <c r="E19" s="16"/>
      <c r="F19" s="16"/>
      <c r="G19" s="37"/>
      <c r="H19" s="37"/>
      <c r="I19" s="38"/>
      <c r="J19" s="13" t="str">
        <f t="shared" si="0"/>
        <v/>
      </c>
      <c r="K19" s="13" t="str">
        <f t="shared" si="1"/>
        <v/>
      </c>
      <c r="L19" s="33" t="str">
        <f t="shared" si="2"/>
        <v/>
      </c>
      <c r="M19" s="33" t="str">
        <f t="shared" ref="M19:AA19" si="9">IF(AND(M$8&gt;=$J19, M$8&lt;=$K19),"1","")</f>
        <v/>
      </c>
      <c r="N19" s="33" t="str">
        <f t="shared" si="9"/>
        <v/>
      </c>
      <c r="O19" s="33" t="str">
        <f t="shared" si="9"/>
        <v/>
      </c>
      <c r="P19" s="33" t="str">
        <f t="shared" si="9"/>
        <v/>
      </c>
      <c r="Q19" s="34" t="str">
        <f t="shared" si="9"/>
        <v/>
      </c>
      <c r="R19" s="35" t="str">
        <f t="shared" si="9"/>
        <v/>
      </c>
      <c r="S19" s="33" t="str">
        <f t="shared" si="9"/>
        <v/>
      </c>
      <c r="T19" s="33" t="str">
        <f t="shared" si="9"/>
        <v/>
      </c>
      <c r="U19" s="33" t="str">
        <f t="shared" si="9"/>
        <v/>
      </c>
      <c r="V19" s="33" t="str">
        <f t="shared" si="9"/>
        <v/>
      </c>
      <c r="W19" s="33" t="str">
        <f t="shared" si="9"/>
        <v/>
      </c>
      <c r="X19" s="34" t="str">
        <f t="shared" si="9"/>
        <v/>
      </c>
      <c r="Y19" s="35" t="str">
        <f t="shared" si="9"/>
        <v/>
      </c>
      <c r="Z19" s="33" t="str">
        <f t="shared" si="9"/>
        <v/>
      </c>
      <c r="AA19" s="33" t="str">
        <f t="shared" si="9"/>
        <v/>
      </c>
      <c r="AB19" s="33" t="str">
        <f t="shared" si="7"/>
        <v/>
      </c>
      <c r="AC19" s="33" t="str">
        <f t="shared" ref="AC19:AQ23" si="10">IF(AND(AC$8&gt;=$J19, AC$8&lt;=$K19),"1","")</f>
        <v/>
      </c>
      <c r="AD19" s="33" t="str">
        <f t="shared" si="10"/>
        <v/>
      </c>
      <c r="AE19" s="34" t="str">
        <f t="shared" si="10"/>
        <v/>
      </c>
      <c r="AF19" s="35" t="str">
        <f t="shared" si="10"/>
        <v/>
      </c>
      <c r="AG19" s="33" t="str">
        <f t="shared" si="10"/>
        <v/>
      </c>
      <c r="AH19" s="33" t="str">
        <f t="shared" si="10"/>
        <v/>
      </c>
      <c r="AI19" s="33" t="str">
        <f t="shared" si="10"/>
        <v/>
      </c>
      <c r="AJ19" s="33" t="str">
        <f t="shared" si="10"/>
        <v/>
      </c>
      <c r="AK19" s="33" t="str">
        <f t="shared" si="10"/>
        <v/>
      </c>
      <c r="AL19" s="34" t="str">
        <f t="shared" si="10"/>
        <v/>
      </c>
      <c r="AM19" s="35" t="str">
        <f t="shared" si="10"/>
        <v/>
      </c>
      <c r="AN19" s="33" t="str">
        <f t="shared" si="10"/>
        <v/>
      </c>
      <c r="AO19" s="33" t="str">
        <f t="shared" si="10"/>
        <v/>
      </c>
      <c r="AP19" s="33" t="str">
        <f t="shared" si="10"/>
        <v/>
      </c>
      <c r="AQ19" s="33" t="str">
        <f t="shared" si="10"/>
        <v/>
      </c>
      <c r="AR19" s="33" t="str">
        <f t="shared" si="8"/>
        <v/>
      </c>
      <c r="AS19" s="34" t="str">
        <f t="shared" si="5"/>
        <v/>
      </c>
      <c r="AT19" s="36" t="str">
        <f t="shared" si="5"/>
        <v/>
      </c>
    </row>
    <row r="20" spans="3:46" ht="13.95" customHeight="1" x14ac:dyDescent="0.35">
      <c r="C20" s="14"/>
      <c r="D20" s="16"/>
      <c r="E20" s="16"/>
      <c r="F20" s="16"/>
      <c r="G20" s="37"/>
      <c r="H20" s="37"/>
      <c r="I20" s="38"/>
      <c r="J20" s="13" t="str">
        <f t="shared" si="0"/>
        <v/>
      </c>
      <c r="K20" s="13" t="str">
        <f t="shared" si="1"/>
        <v/>
      </c>
      <c r="L20" s="33" t="str">
        <f t="shared" si="2"/>
        <v/>
      </c>
      <c r="M20" s="33" t="str">
        <f t="shared" ref="M20:AA23" si="11">IF(AND(M$8&gt;=$J20, M$8&lt;=$K20),"1","")</f>
        <v/>
      </c>
      <c r="N20" s="33" t="str">
        <f t="shared" si="11"/>
        <v/>
      </c>
      <c r="O20" s="33" t="str">
        <f t="shared" si="11"/>
        <v/>
      </c>
      <c r="P20" s="33" t="str">
        <f t="shared" si="11"/>
        <v/>
      </c>
      <c r="Q20" s="34" t="str">
        <f t="shared" si="11"/>
        <v/>
      </c>
      <c r="R20" s="35" t="str">
        <f t="shared" si="11"/>
        <v/>
      </c>
      <c r="S20" s="33" t="str">
        <f t="shared" si="11"/>
        <v/>
      </c>
      <c r="T20" s="33" t="str">
        <f t="shared" si="11"/>
        <v/>
      </c>
      <c r="U20" s="33" t="str">
        <f t="shared" si="11"/>
        <v/>
      </c>
      <c r="V20" s="33" t="str">
        <f t="shared" si="11"/>
        <v/>
      </c>
      <c r="W20" s="33" t="str">
        <f t="shared" si="11"/>
        <v/>
      </c>
      <c r="X20" s="34" t="str">
        <f t="shared" si="11"/>
        <v/>
      </c>
      <c r="Y20" s="35" t="str">
        <f t="shared" si="11"/>
        <v/>
      </c>
      <c r="Z20" s="33" t="str">
        <f t="shared" si="11"/>
        <v/>
      </c>
      <c r="AA20" s="33" t="str">
        <f t="shared" si="11"/>
        <v/>
      </c>
      <c r="AB20" s="33" t="str">
        <f t="shared" si="7"/>
        <v/>
      </c>
      <c r="AC20" s="33" t="str">
        <f t="shared" si="10"/>
        <v/>
      </c>
      <c r="AD20" s="33" t="str">
        <f t="shared" si="10"/>
        <v/>
      </c>
      <c r="AE20" s="34" t="str">
        <f t="shared" si="10"/>
        <v/>
      </c>
      <c r="AF20" s="35" t="str">
        <f t="shared" si="10"/>
        <v/>
      </c>
      <c r="AG20" s="33" t="str">
        <f t="shared" si="10"/>
        <v/>
      </c>
      <c r="AH20" s="33" t="str">
        <f t="shared" si="10"/>
        <v/>
      </c>
      <c r="AI20" s="33" t="str">
        <f t="shared" si="10"/>
        <v/>
      </c>
      <c r="AJ20" s="33" t="str">
        <f t="shared" si="10"/>
        <v/>
      </c>
      <c r="AK20" s="33" t="str">
        <f t="shared" si="10"/>
        <v/>
      </c>
      <c r="AL20" s="34" t="str">
        <f t="shared" si="10"/>
        <v/>
      </c>
      <c r="AM20" s="35" t="str">
        <f t="shared" si="10"/>
        <v/>
      </c>
      <c r="AN20" s="33" t="str">
        <f t="shared" si="10"/>
        <v/>
      </c>
      <c r="AO20" s="33" t="str">
        <f t="shared" si="10"/>
        <v/>
      </c>
      <c r="AP20" s="33" t="str">
        <f t="shared" si="10"/>
        <v/>
      </c>
      <c r="AQ20" s="33" t="str">
        <f t="shared" si="10"/>
        <v/>
      </c>
      <c r="AR20" s="33" t="str">
        <f t="shared" si="8"/>
        <v/>
      </c>
      <c r="AS20" s="34" t="str">
        <f t="shared" si="5"/>
        <v/>
      </c>
      <c r="AT20" s="36" t="str">
        <f t="shared" si="5"/>
        <v/>
      </c>
    </row>
    <row r="21" spans="3:46" ht="13.95" customHeight="1" x14ac:dyDescent="0.35">
      <c r="C21" s="14"/>
      <c r="D21" s="16"/>
      <c r="E21" s="16"/>
      <c r="F21" s="16"/>
      <c r="G21" s="37"/>
      <c r="H21" s="37"/>
      <c r="I21" s="38"/>
      <c r="J21" s="13" t="str">
        <f t="shared" si="0"/>
        <v/>
      </c>
      <c r="K21" s="13" t="str">
        <f t="shared" si="1"/>
        <v/>
      </c>
      <c r="L21" s="33" t="str">
        <f t="shared" si="2"/>
        <v/>
      </c>
      <c r="M21" s="33" t="str">
        <f t="shared" si="11"/>
        <v/>
      </c>
      <c r="N21" s="33" t="str">
        <f t="shared" si="11"/>
        <v/>
      </c>
      <c r="O21" s="33" t="str">
        <f t="shared" si="11"/>
        <v/>
      </c>
      <c r="P21" s="33" t="str">
        <f t="shared" si="11"/>
        <v/>
      </c>
      <c r="Q21" s="34" t="str">
        <f t="shared" si="11"/>
        <v/>
      </c>
      <c r="R21" s="35" t="str">
        <f t="shared" si="11"/>
        <v/>
      </c>
      <c r="S21" s="33" t="str">
        <f t="shared" si="11"/>
        <v/>
      </c>
      <c r="T21" s="33" t="str">
        <f t="shared" si="11"/>
        <v/>
      </c>
      <c r="U21" s="33" t="str">
        <f t="shared" si="11"/>
        <v/>
      </c>
      <c r="V21" s="33" t="str">
        <f t="shared" si="11"/>
        <v/>
      </c>
      <c r="W21" s="33" t="str">
        <f t="shared" si="11"/>
        <v/>
      </c>
      <c r="X21" s="34" t="str">
        <f t="shared" si="11"/>
        <v/>
      </c>
      <c r="Y21" s="35" t="str">
        <f t="shared" si="11"/>
        <v/>
      </c>
      <c r="Z21" s="33" t="str">
        <f t="shared" si="11"/>
        <v/>
      </c>
      <c r="AA21" s="33" t="str">
        <f t="shared" si="11"/>
        <v/>
      </c>
      <c r="AB21" s="33" t="str">
        <f t="shared" si="7"/>
        <v/>
      </c>
      <c r="AC21" s="33" t="str">
        <f t="shared" si="10"/>
        <v/>
      </c>
      <c r="AD21" s="33" t="str">
        <f t="shared" si="10"/>
        <v/>
      </c>
      <c r="AE21" s="34" t="str">
        <f t="shared" si="10"/>
        <v/>
      </c>
      <c r="AF21" s="35" t="str">
        <f t="shared" si="10"/>
        <v/>
      </c>
      <c r="AG21" s="33" t="str">
        <f t="shared" si="10"/>
        <v/>
      </c>
      <c r="AH21" s="33" t="str">
        <f t="shared" si="10"/>
        <v/>
      </c>
      <c r="AI21" s="33" t="str">
        <f t="shared" si="10"/>
        <v/>
      </c>
      <c r="AJ21" s="33" t="str">
        <f t="shared" si="10"/>
        <v/>
      </c>
      <c r="AK21" s="33" t="str">
        <f t="shared" si="10"/>
        <v/>
      </c>
      <c r="AL21" s="34" t="str">
        <f t="shared" si="10"/>
        <v/>
      </c>
      <c r="AM21" s="35" t="str">
        <f t="shared" si="10"/>
        <v/>
      </c>
      <c r="AN21" s="33" t="str">
        <f t="shared" si="10"/>
        <v/>
      </c>
      <c r="AO21" s="33" t="str">
        <f t="shared" si="10"/>
        <v/>
      </c>
      <c r="AP21" s="33" t="str">
        <f t="shared" si="10"/>
        <v/>
      </c>
      <c r="AQ21" s="33" t="str">
        <f t="shared" si="10"/>
        <v/>
      </c>
      <c r="AR21" s="33" t="str">
        <f t="shared" si="8"/>
        <v/>
      </c>
      <c r="AS21" s="34" t="str">
        <f t="shared" si="5"/>
        <v/>
      </c>
      <c r="AT21" s="36" t="str">
        <f t="shared" si="5"/>
        <v/>
      </c>
    </row>
    <row r="22" spans="3:46" ht="13.95" customHeight="1" x14ac:dyDescent="0.35">
      <c r="C22" s="14"/>
      <c r="D22" s="16"/>
      <c r="E22" s="16"/>
      <c r="F22" s="16"/>
      <c r="G22" s="37"/>
      <c r="H22" s="37"/>
      <c r="I22" s="38"/>
      <c r="J22" s="13" t="str">
        <f t="shared" si="0"/>
        <v/>
      </c>
      <c r="K22" s="13" t="str">
        <f t="shared" si="1"/>
        <v/>
      </c>
      <c r="L22" s="33" t="str">
        <f t="shared" si="2"/>
        <v/>
      </c>
      <c r="M22" s="33" t="str">
        <f t="shared" si="11"/>
        <v/>
      </c>
      <c r="N22" s="33" t="str">
        <f t="shared" si="11"/>
        <v/>
      </c>
      <c r="O22" s="33" t="str">
        <f t="shared" si="11"/>
        <v/>
      </c>
      <c r="P22" s="33" t="str">
        <f t="shared" si="11"/>
        <v/>
      </c>
      <c r="Q22" s="34" t="str">
        <f t="shared" si="11"/>
        <v/>
      </c>
      <c r="R22" s="35" t="str">
        <f t="shared" si="11"/>
        <v/>
      </c>
      <c r="S22" s="33" t="str">
        <f t="shared" si="11"/>
        <v/>
      </c>
      <c r="T22" s="33" t="str">
        <f t="shared" si="11"/>
        <v/>
      </c>
      <c r="U22" s="33" t="str">
        <f t="shared" si="11"/>
        <v/>
      </c>
      <c r="V22" s="33" t="str">
        <f t="shared" si="11"/>
        <v/>
      </c>
      <c r="W22" s="33" t="str">
        <f t="shared" si="11"/>
        <v/>
      </c>
      <c r="X22" s="34" t="str">
        <f t="shared" si="11"/>
        <v/>
      </c>
      <c r="Y22" s="35" t="str">
        <f t="shared" si="11"/>
        <v/>
      </c>
      <c r="Z22" s="33" t="str">
        <f t="shared" si="11"/>
        <v/>
      </c>
      <c r="AA22" s="33" t="str">
        <f t="shared" si="11"/>
        <v/>
      </c>
      <c r="AB22" s="33" t="str">
        <f t="shared" si="7"/>
        <v/>
      </c>
      <c r="AC22" s="33" t="str">
        <f t="shared" si="10"/>
        <v/>
      </c>
      <c r="AD22" s="33" t="str">
        <f t="shared" si="10"/>
        <v/>
      </c>
      <c r="AE22" s="34" t="str">
        <f t="shared" si="10"/>
        <v/>
      </c>
      <c r="AF22" s="35" t="str">
        <f t="shared" si="10"/>
        <v/>
      </c>
      <c r="AG22" s="33" t="str">
        <f t="shared" si="10"/>
        <v/>
      </c>
      <c r="AH22" s="33" t="str">
        <f t="shared" si="10"/>
        <v/>
      </c>
      <c r="AI22" s="33" t="str">
        <f t="shared" si="10"/>
        <v/>
      </c>
      <c r="AJ22" s="33" t="str">
        <f t="shared" si="10"/>
        <v/>
      </c>
      <c r="AK22" s="33" t="str">
        <f t="shared" si="10"/>
        <v/>
      </c>
      <c r="AL22" s="34" t="str">
        <f t="shared" si="10"/>
        <v/>
      </c>
      <c r="AM22" s="35" t="str">
        <f t="shared" si="10"/>
        <v/>
      </c>
      <c r="AN22" s="33" t="str">
        <f t="shared" si="10"/>
        <v/>
      </c>
      <c r="AO22" s="33" t="str">
        <f t="shared" si="10"/>
        <v/>
      </c>
      <c r="AP22" s="33" t="str">
        <f t="shared" si="10"/>
        <v/>
      </c>
      <c r="AQ22" s="33" t="str">
        <f t="shared" si="10"/>
        <v/>
      </c>
      <c r="AR22" s="33" t="str">
        <f t="shared" si="8"/>
        <v/>
      </c>
      <c r="AS22" s="34" t="str">
        <f t="shared" si="5"/>
        <v/>
      </c>
      <c r="AT22" s="36" t="str">
        <f t="shared" si="5"/>
        <v/>
      </c>
    </row>
    <row r="23" spans="3:46" ht="13.95" customHeight="1" x14ac:dyDescent="0.35">
      <c r="C23" s="14"/>
      <c r="D23" s="16"/>
      <c r="E23" s="16"/>
      <c r="F23" s="16"/>
      <c r="G23" s="37"/>
      <c r="H23" s="37"/>
      <c r="I23" s="38"/>
      <c r="J23" s="13" t="str">
        <f t="shared" si="0"/>
        <v/>
      </c>
      <c r="K23" s="13" t="str">
        <f t="shared" si="1"/>
        <v/>
      </c>
      <c r="L23" s="33" t="str">
        <f t="shared" si="2"/>
        <v/>
      </c>
      <c r="M23" s="33" t="str">
        <f t="shared" si="11"/>
        <v/>
      </c>
      <c r="N23" s="33" t="str">
        <f t="shared" si="11"/>
        <v/>
      </c>
      <c r="O23" s="33" t="str">
        <f t="shared" si="11"/>
        <v/>
      </c>
      <c r="P23" s="33" t="str">
        <f t="shared" si="11"/>
        <v/>
      </c>
      <c r="Q23" s="34" t="str">
        <f t="shared" si="11"/>
        <v/>
      </c>
      <c r="R23" s="35" t="str">
        <f t="shared" si="11"/>
        <v/>
      </c>
      <c r="S23" s="33" t="str">
        <f t="shared" si="11"/>
        <v/>
      </c>
      <c r="T23" s="33" t="str">
        <f t="shared" si="11"/>
        <v/>
      </c>
      <c r="U23" s="33" t="str">
        <f t="shared" si="11"/>
        <v/>
      </c>
      <c r="V23" s="33" t="str">
        <f t="shared" si="11"/>
        <v/>
      </c>
      <c r="W23" s="33" t="str">
        <f t="shared" si="11"/>
        <v/>
      </c>
      <c r="X23" s="34" t="str">
        <f t="shared" si="11"/>
        <v/>
      </c>
      <c r="Y23" s="35" t="str">
        <f t="shared" si="11"/>
        <v/>
      </c>
      <c r="Z23" s="33" t="str">
        <f t="shared" si="11"/>
        <v/>
      </c>
      <c r="AA23" s="33" t="str">
        <f t="shared" si="11"/>
        <v/>
      </c>
      <c r="AB23" s="33" t="str">
        <f t="shared" si="7"/>
        <v/>
      </c>
      <c r="AC23" s="33" t="str">
        <f t="shared" si="10"/>
        <v/>
      </c>
      <c r="AD23" s="33" t="str">
        <f t="shared" si="10"/>
        <v/>
      </c>
      <c r="AE23" s="34" t="str">
        <f t="shared" si="10"/>
        <v/>
      </c>
      <c r="AF23" s="35" t="str">
        <f t="shared" si="10"/>
        <v/>
      </c>
      <c r="AG23" s="33" t="str">
        <f t="shared" si="10"/>
        <v/>
      </c>
      <c r="AH23" s="33" t="str">
        <f t="shared" si="10"/>
        <v/>
      </c>
      <c r="AI23" s="33" t="str">
        <f t="shared" si="10"/>
        <v/>
      </c>
      <c r="AJ23" s="33" t="str">
        <f t="shared" si="10"/>
        <v/>
      </c>
      <c r="AK23" s="33" t="str">
        <f t="shared" si="10"/>
        <v/>
      </c>
      <c r="AL23" s="34" t="str">
        <f t="shared" si="10"/>
        <v/>
      </c>
      <c r="AM23" s="35" t="str">
        <f t="shared" si="10"/>
        <v/>
      </c>
      <c r="AN23" s="33" t="str">
        <f t="shared" si="10"/>
        <v/>
      </c>
      <c r="AO23" s="33" t="str">
        <f t="shared" si="10"/>
        <v/>
      </c>
      <c r="AP23" s="33" t="str">
        <f t="shared" si="10"/>
        <v/>
      </c>
      <c r="AQ23" s="33" t="str">
        <f t="shared" si="10"/>
        <v/>
      </c>
      <c r="AR23" s="33" t="str">
        <f t="shared" si="8"/>
        <v/>
      </c>
      <c r="AS23" s="34" t="str">
        <f t="shared" si="5"/>
        <v/>
      </c>
      <c r="AT23" s="36" t="str">
        <f t="shared" si="5"/>
        <v/>
      </c>
    </row>
    <row r="24" spans="3:46" x14ac:dyDescent="0.35">
      <c r="C24" s="9"/>
      <c r="D24" s="54" t="s">
        <v>52</v>
      </c>
      <c r="E24" s="8"/>
      <c r="F24" s="8"/>
      <c r="G24" s="8"/>
      <c r="H24" s="8"/>
      <c r="I24" s="45">
        <f>SUM(I9:I15)</f>
        <v>21</v>
      </c>
      <c r="J24" s="8"/>
      <c r="K24" s="10"/>
      <c r="L24" s="21">
        <v>1</v>
      </c>
      <c r="M24" s="21">
        <v>2</v>
      </c>
      <c r="N24" s="21">
        <v>3</v>
      </c>
      <c r="O24" s="21">
        <v>4</v>
      </c>
      <c r="P24" s="21">
        <v>5</v>
      </c>
      <c r="Q24" s="22">
        <v>6</v>
      </c>
      <c r="R24" s="23">
        <v>7</v>
      </c>
      <c r="S24" s="21">
        <v>8</v>
      </c>
      <c r="T24" s="21">
        <v>9</v>
      </c>
      <c r="U24" s="21">
        <v>10</v>
      </c>
      <c r="V24" s="21">
        <v>11</v>
      </c>
      <c r="W24" s="21">
        <v>12</v>
      </c>
      <c r="X24" s="22">
        <v>13</v>
      </c>
      <c r="Y24" s="23">
        <v>14</v>
      </c>
      <c r="Z24" s="21">
        <v>15</v>
      </c>
      <c r="AA24" s="21">
        <v>16</v>
      </c>
      <c r="AB24" s="21">
        <v>17</v>
      </c>
      <c r="AC24" s="21">
        <v>18</v>
      </c>
      <c r="AD24" s="21">
        <v>19</v>
      </c>
      <c r="AE24" s="22">
        <v>20</v>
      </c>
      <c r="AF24" s="23">
        <v>21</v>
      </c>
      <c r="AG24" s="21">
        <v>22</v>
      </c>
      <c r="AH24" s="21">
        <v>23</v>
      </c>
      <c r="AI24" s="21">
        <v>24</v>
      </c>
      <c r="AJ24" s="21">
        <v>25</v>
      </c>
      <c r="AK24" s="21">
        <v>26</v>
      </c>
      <c r="AL24" s="22">
        <v>27</v>
      </c>
      <c r="AM24" s="23">
        <v>28</v>
      </c>
      <c r="AN24" s="21">
        <v>29</v>
      </c>
      <c r="AO24" s="21">
        <v>30</v>
      </c>
      <c r="AP24" s="21">
        <v>31</v>
      </c>
      <c r="AQ24" s="21">
        <v>32</v>
      </c>
      <c r="AR24" s="21">
        <v>33</v>
      </c>
      <c r="AS24" s="22">
        <v>34</v>
      </c>
      <c r="AT24" s="24">
        <v>35</v>
      </c>
    </row>
    <row r="25" spans="3:46" x14ac:dyDescent="0.35"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3:46" x14ac:dyDescent="0.35"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3:46" x14ac:dyDescent="0.35"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3:46" x14ac:dyDescent="0.35"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3:46" x14ac:dyDescent="0.35"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3:46" x14ac:dyDescent="0.35"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3:46" x14ac:dyDescent="0.35"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3:46" x14ac:dyDescent="0.35"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spans="12:46" x14ac:dyDescent="0.35"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spans="12:46" x14ac:dyDescent="0.35"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spans="12:46" x14ac:dyDescent="0.35"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spans="12:46" x14ac:dyDescent="0.35"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12:46" x14ac:dyDescent="0.35"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12:46" x14ac:dyDescent="0.35"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12:46" x14ac:dyDescent="0.35"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spans="12:46" x14ac:dyDescent="0.35"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spans="12:46" x14ac:dyDescent="0.35"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spans="12:46" x14ac:dyDescent="0.35"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12:46" x14ac:dyDescent="0.35"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spans="12:46" x14ac:dyDescent="0.35"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spans="12:46" x14ac:dyDescent="0.35"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spans="12:46" x14ac:dyDescent="0.35"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spans="12:46" x14ac:dyDescent="0.35"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spans="12:46" x14ac:dyDescent="0.35"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spans="12:46" x14ac:dyDescent="0.35"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spans="12:46" x14ac:dyDescent="0.35"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spans="12:46" x14ac:dyDescent="0.35"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spans="12:46" x14ac:dyDescent="0.35"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spans="12:46" x14ac:dyDescent="0.35"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spans="12:46" x14ac:dyDescent="0.35"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spans="12:46" x14ac:dyDescent="0.35"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spans="12:46" x14ac:dyDescent="0.35"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spans="12:46" x14ac:dyDescent="0.35"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 spans="12:46" x14ac:dyDescent="0.35"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 spans="12:46" x14ac:dyDescent="0.35"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 spans="12:46" x14ac:dyDescent="0.35"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 spans="12:46" x14ac:dyDescent="0.35"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 spans="12:46" x14ac:dyDescent="0.35"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 spans="12:46" x14ac:dyDescent="0.35"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 spans="12:46" x14ac:dyDescent="0.35"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 spans="12:46" x14ac:dyDescent="0.35"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 spans="12:46" x14ac:dyDescent="0.35"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 spans="12:46" x14ac:dyDescent="0.35"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 spans="12:46" x14ac:dyDescent="0.35"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 spans="12:46" x14ac:dyDescent="0.35"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 spans="12:46" x14ac:dyDescent="0.35"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 spans="12:46" x14ac:dyDescent="0.35"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 spans="12:46" x14ac:dyDescent="0.35"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 spans="12:46" x14ac:dyDescent="0.35"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 spans="12:46" x14ac:dyDescent="0.35"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 spans="12:46" x14ac:dyDescent="0.35"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</sheetData>
  <mergeCells count="4">
    <mergeCell ref="D7:K7"/>
    <mergeCell ref="C6:AT6"/>
    <mergeCell ref="C2:H2"/>
    <mergeCell ref="C4:H4"/>
  </mergeCells>
  <phoneticPr fontId="2" type="noConversion"/>
  <conditionalFormatting sqref="L9:AT9">
    <cfRule type="cellIs" dxfId="1" priority="66" stopIfTrue="1" operator="equal">
      <formula>"1"</formula>
    </cfRule>
  </conditionalFormatting>
  <conditionalFormatting sqref="L10:AT23">
    <cfRule type="cellIs" dxfId="0" priority="2" stopIfTrue="1" operator="equal">
      <formula>"1"</formula>
    </cfRule>
  </conditionalFormatting>
  <printOptions horizontalCentered="1"/>
  <pageMargins left="7.874015748031496E-2" right="7.874015748031496E-2" top="0.39370078740157483" bottom="0.39370078740157483" header="0.39370078740157483" footer="0.39370078740157483"/>
  <pageSetup paperSize="9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BAE9-A363-4633-ACAE-F8B5EB0EEB99}">
  <dimension ref="A4:Q27"/>
  <sheetViews>
    <sheetView topLeftCell="A10" workbookViewId="0">
      <selection activeCell="C17" sqref="C17"/>
    </sheetView>
  </sheetViews>
  <sheetFormatPr defaultRowHeight="13.2" x14ac:dyDescent="0.25"/>
  <cols>
    <col min="1" max="1" width="17.21875" bestFit="1" customWidth="1"/>
    <col min="2" max="2" width="21.6640625" customWidth="1"/>
    <col min="3" max="3" width="40.6640625" bestFit="1" customWidth="1"/>
    <col min="4" max="4" width="16" customWidth="1"/>
    <col min="5" max="5" width="22.21875" bestFit="1" customWidth="1"/>
    <col min="6" max="6" width="39.6640625" bestFit="1" customWidth="1"/>
    <col min="7" max="7" width="12.5546875" customWidth="1"/>
    <col min="8" max="8" width="11.6640625" customWidth="1"/>
    <col min="12" max="13" width="11.109375" customWidth="1"/>
    <col min="17" max="17" width="12.88671875" bestFit="1" customWidth="1"/>
  </cols>
  <sheetData>
    <row r="4" spans="1:17" x14ac:dyDescent="0.25">
      <c r="A4" s="41" t="s">
        <v>26</v>
      </c>
      <c r="B4" s="41" t="s">
        <v>12</v>
      </c>
    </row>
    <row r="8" spans="1:17" x14ac:dyDescent="0.25">
      <c r="Q8" s="39"/>
    </row>
    <row r="16" spans="1:17" x14ac:dyDescent="0.25">
      <c r="B16" t="s">
        <v>27</v>
      </c>
      <c r="C16" t="s">
        <v>3</v>
      </c>
      <c r="D16" t="s">
        <v>31</v>
      </c>
      <c r="E16" t="s">
        <v>17</v>
      </c>
      <c r="F16" t="s">
        <v>18</v>
      </c>
      <c r="G16" t="s">
        <v>19</v>
      </c>
      <c r="H16" t="s">
        <v>20</v>
      </c>
      <c r="I16" t="s">
        <v>24</v>
      </c>
      <c r="J16" t="s">
        <v>23</v>
      </c>
      <c r="K16" t="s">
        <v>22</v>
      </c>
      <c r="L16" t="s">
        <v>21</v>
      </c>
      <c r="M16" t="s">
        <v>25</v>
      </c>
    </row>
    <row r="17" spans="2:13" ht="16.8" x14ac:dyDescent="0.4">
      <c r="B17" t="s">
        <v>32</v>
      </c>
      <c r="C17" s="47" t="s">
        <v>43</v>
      </c>
      <c r="D17" t="s">
        <v>8</v>
      </c>
      <c r="E17">
        <f>(F17+4*G17+H17)/6</f>
        <v>2</v>
      </c>
      <c r="F17">
        <v>1</v>
      </c>
      <c r="G17">
        <v>2</v>
      </c>
      <c r="H17">
        <v>3</v>
      </c>
      <c r="I17">
        <f>L17</f>
        <v>0</v>
      </c>
      <c r="J17">
        <f>K17</f>
        <v>2</v>
      </c>
      <c r="K17">
        <f t="shared" ref="K17:K23" si="0">L17+E17</f>
        <v>2</v>
      </c>
      <c r="L17">
        <v>0</v>
      </c>
      <c r="M17">
        <f t="shared" ref="M17:M23" si="1">I17-L17</f>
        <v>0</v>
      </c>
    </row>
    <row r="18" spans="2:13" ht="14.4" x14ac:dyDescent="0.25">
      <c r="B18" t="s">
        <v>8</v>
      </c>
      <c r="C18" s="46" t="s">
        <v>37</v>
      </c>
      <c r="D18" t="s">
        <v>13</v>
      </c>
      <c r="E18">
        <f t="shared" ref="E18:E23" si="2">ROUND((F18+4*G18+H18)/6,0)</f>
        <v>2</v>
      </c>
      <c r="F18">
        <v>2</v>
      </c>
      <c r="G18">
        <v>2</v>
      </c>
      <c r="H18">
        <v>4</v>
      </c>
      <c r="I18">
        <f t="shared" ref="I18:I22" si="3">L18</f>
        <v>2</v>
      </c>
      <c r="J18">
        <f t="shared" ref="J18:J22" si="4">K18</f>
        <v>4</v>
      </c>
      <c r="K18">
        <f t="shared" si="0"/>
        <v>4</v>
      </c>
      <c r="L18">
        <f>K17</f>
        <v>2</v>
      </c>
      <c r="M18">
        <f t="shared" si="1"/>
        <v>0</v>
      </c>
    </row>
    <row r="19" spans="2:13" ht="14.4" x14ac:dyDescent="0.25">
      <c r="B19" t="s">
        <v>13</v>
      </c>
      <c r="C19" s="46" t="s">
        <v>38</v>
      </c>
      <c r="D19" t="s">
        <v>7</v>
      </c>
      <c r="E19">
        <f t="shared" si="2"/>
        <v>2</v>
      </c>
      <c r="F19">
        <v>1</v>
      </c>
      <c r="G19">
        <v>2</v>
      </c>
      <c r="H19">
        <v>4</v>
      </c>
      <c r="I19">
        <f t="shared" si="3"/>
        <v>4</v>
      </c>
      <c r="J19">
        <f t="shared" si="4"/>
        <v>6</v>
      </c>
      <c r="K19">
        <f t="shared" si="0"/>
        <v>6</v>
      </c>
      <c r="L19">
        <f>K18</f>
        <v>4</v>
      </c>
      <c r="M19">
        <f t="shared" si="1"/>
        <v>0</v>
      </c>
    </row>
    <row r="20" spans="2:13" ht="28.8" x14ac:dyDescent="0.25">
      <c r="B20" t="s">
        <v>7</v>
      </c>
      <c r="C20" s="50" t="s">
        <v>39</v>
      </c>
      <c r="D20" t="s">
        <v>9</v>
      </c>
      <c r="E20">
        <f t="shared" si="2"/>
        <v>3</v>
      </c>
      <c r="F20">
        <v>3</v>
      </c>
      <c r="G20">
        <v>3</v>
      </c>
      <c r="H20">
        <v>5</v>
      </c>
      <c r="I20">
        <f t="shared" si="3"/>
        <v>6</v>
      </c>
      <c r="J20">
        <f t="shared" si="4"/>
        <v>9</v>
      </c>
      <c r="K20">
        <f t="shared" si="0"/>
        <v>9</v>
      </c>
      <c r="L20">
        <f>K19</f>
        <v>6</v>
      </c>
      <c r="M20">
        <f t="shared" si="1"/>
        <v>0</v>
      </c>
    </row>
    <row r="21" spans="2:13" ht="14.4" x14ac:dyDescent="0.25">
      <c r="B21" t="s">
        <v>9</v>
      </c>
      <c r="C21" s="51" t="s">
        <v>40</v>
      </c>
      <c r="D21" t="s">
        <v>14</v>
      </c>
      <c r="E21">
        <f t="shared" si="2"/>
        <v>2</v>
      </c>
      <c r="F21">
        <v>1</v>
      </c>
      <c r="G21">
        <v>2</v>
      </c>
      <c r="H21">
        <v>4</v>
      </c>
      <c r="I21">
        <f t="shared" si="3"/>
        <v>9</v>
      </c>
      <c r="J21">
        <f>K21</f>
        <v>11</v>
      </c>
      <c r="K21">
        <f t="shared" si="0"/>
        <v>11</v>
      </c>
      <c r="L21">
        <f>K20</f>
        <v>9</v>
      </c>
      <c r="M21">
        <f t="shared" si="1"/>
        <v>0</v>
      </c>
    </row>
    <row r="22" spans="2:13" ht="14.4" x14ac:dyDescent="0.25">
      <c r="B22" t="s">
        <v>14</v>
      </c>
      <c r="C22" s="51" t="s">
        <v>42</v>
      </c>
      <c r="D22" t="s">
        <v>15</v>
      </c>
      <c r="E22">
        <f t="shared" si="2"/>
        <v>3</v>
      </c>
      <c r="F22">
        <v>2</v>
      </c>
      <c r="G22">
        <v>3</v>
      </c>
      <c r="H22">
        <v>5</v>
      </c>
      <c r="I22">
        <f t="shared" si="3"/>
        <v>11</v>
      </c>
      <c r="J22">
        <f t="shared" si="4"/>
        <v>14</v>
      </c>
      <c r="K22">
        <f t="shared" si="0"/>
        <v>14</v>
      </c>
      <c r="L22">
        <f t="shared" ref="L22" si="5">K21</f>
        <v>11</v>
      </c>
      <c r="M22">
        <f t="shared" si="1"/>
        <v>0</v>
      </c>
    </row>
    <row r="23" spans="2:13" ht="14.4" x14ac:dyDescent="0.25">
      <c r="B23" t="s">
        <v>14</v>
      </c>
      <c r="C23" s="51" t="s">
        <v>41</v>
      </c>
      <c r="D23" t="s">
        <v>16</v>
      </c>
      <c r="E23">
        <f t="shared" si="2"/>
        <v>3</v>
      </c>
      <c r="F23">
        <v>2</v>
      </c>
      <c r="G23">
        <v>3</v>
      </c>
      <c r="H23">
        <v>5</v>
      </c>
      <c r="I23">
        <f>L23</f>
        <v>11</v>
      </c>
      <c r="J23">
        <f>K23</f>
        <v>14</v>
      </c>
      <c r="K23">
        <f t="shared" si="0"/>
        <v>14</v>
      </c>
      <c r="L23">
        <f>11</f>
        <v>11</v>
      </c>
      <c r="M23">
        <f t="shared" si="1"/>
        <v>0</v>
      </c>
    </row>
    <row r="26" spans="2:13" ht="21" x14ac:dyDescent="0.4">
      <c r="E26" s="40" t="s">
        <v>28</v>
      </c>
      <c r="F26" s="40">
        <f>K23</f>
        <v>14</v>
      </c>
    </row>
    <row r="27" spans="2:13" ht="21" x14ac:dyDescent="0.4">
      <c r="E27" s="40" t="s">
        <v>29</v>
      </c>
      <c r="F27" s="40" t="s">
        <v>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CA50-B831-48EF-8846-4F5B949281B3}">
  <dimension ref="A1"/>
  <sheetViews>
    <sheetView topLeftCell="A7" workbookViewId="0">
      <selection activeCell="V57" sqref="V57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A840-306D-4E78-BADA-755015FE286B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6841-0039-499E-B285-D92B01E33246}">
  <dimension ref="A1"/>
  <sheetViews>
    <sheetView workbookViewId="0">
      <selection activeCell="W56" sqref="W56:X57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D58D-16D3-4379-92B4-D950F614AC0D}">
  <dimension ref="A1"/>
  <sheetViews>
    <sheetView topLeftCell="A7" workbookViewId="0">
      <selection activeCell="I9" sqref="I9"/>
    </sheetView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 Gantt Chart </vt:lpstr>
      <vt:lpstr>pert chart</vt:lpstr>
      <vt:lpstr>Use case Diagram</vt:lpstr>
      <vt:lpstr>Context Diagram</vt:lpstr>
      <vt:lpstr>Activity Diagram </vt:lpstr>
      <vt:lpstr>State Machine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عمر احمد سليمان سليمان الريس</cp:lastModifiedBy>
  <cp:lastPrinted>2020-05-06T13:25:10Z</cp:lastPrinted>
  <dcterms:created xsi:type="dcterms:W3CDTF">1996-10-14T23:33:28Z</dcterms:created>
  <dcterms:modified xsi:type="dcterms:W3CDTF">2026-05-10T20:34:07Z</dcterms:modified>
</cp:coreProperties>
</file>